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7520" tabRatio="600" firstSheet="0" activeTab="0" autoFilterDateGrouping="1"/>
  </bookViews>
  <sheets>
    <sheet xmlns:r="http://schemas.openxmlformats.org/officeDocument/2006/relationships" name="示例部门2026.1月" sheetId="1" state="visible" r:id="rId1"/>
    <sheet xmlns:r="http://schemas.openxmlformats.org/officeDocument/2006/relationships" name="2026.1月统计表" sheetId="2" state="visible" r:id="rId2"/>
  </sheets>
  <definedNames>
    <definedName name="_xlnm.Print_Titles" localSheetId="0">'示例部门2026.1月'!$4:$5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aaa"/>
    <numFmt numFmtId="165" formatCode="d"/>
  </numFmts>
  <fonts count="35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sz val="10"/>
      <scheme val="minor"/>
    </font>
    <font>
      <name val="宋体"/>
      <charset val="134"/>
      <sz val="10"/>
    </font>
    <font>
      <name val="宋体"/>
      <charset val="134"/>
      <color rgb="FFFF0000"/>
      <sz val="11"/>
      <scheme val="minor"/>
    </font>
    <font>
      <name val="仿宋_GB2312"/>
      <charset val="134"/>
      <b val="1"/>
      <color theme="1"/>
      <sz val="12"/>
    </font>
    <font>
      <name val="仿宋_GB2312"/>
      <charset val="134"/>
      <sz val="10"/>
    </font>
    <font>
      <name val="仿宋_GB2312"/>
      <charset val="134"/>
      <color theme="1"/>
      <sz val="10"/>
    </font>
    <font>
      <name val="仿宋_GB2312"/>
      <charset val="134"/>
      <b val="1"/>
      <color theme="1"/>
      <sz val="20"/>
    </font>
    <font>
      <name val="仿宋_GB2312"/>
      <charset val="134"/>
      <color theme="1"/>
      <sz val="20"/>
    </font>
    <font>
      <name val="仿宋_GB2312"/>
      <charset val="134"/>
      <color theme="1"/>
      <sz val="16"/>
    </font>
    <font>
      <name val="仿宋_GB2312"/>
      <charset val="134"/>
      <color theme="1"/>
      <sz val="18"/>
    </font>
    <font>
      <name val="Segoe UI Symbol"/>
      <charset val="134"/>
      <color theme="1"/>
      <sz val="10"/>
    </font>
    <font>
      <name val="宋体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color theme="1"/>
      <sz val="10"/>
    </font>
    <font>
      <name val="仿宋_GB2312"/>
      <charset val="134"/>
      <b val="1"/>
      <color theme="1"/>
      <sz val="10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3" borderId="5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6" applyAlignment="1">
      <alignment vertical="center"/>
    </xf>
    <xf numFmtId="0" fontId="20" fillId="0" borderId="6" applyAlignment="1">
      <alignment vertical="center"/>
    </xf>
    <xf numFmtId="0" fontId="21" fillId="0" borderId="7" applyAlignment="1">
      <alignment vertical="center"/>
    </xf>
    <xf numFmtId="0" fontId="21" fillId="0" borderId="0" applyAlignment="1">
      <alignment vertical="center"/>
    </xf>
    <xf numFmtId="0" fontId="22" fillId="4" borderId="8" applyAlignment="1">
      <alignment vertical="center"/>
    </xf>
    <xf numFmtId="0" fontId="23" fillId="5" borderId="9" applyAlignment="1">
      <alignment vertical="center"/>
    </xf>
    <xf numFmtId="0" fontId="24" fillId="5" borderId="8" applyAlignment="1">
      <alignment vertical="center"/>
    </xf>
    <xf numFmtId="0" fontId="25" fillId="6" borderId="10" applyAlignment="1">
      <alignment vertical="center"/>
    </xf>
    <xf numFmtId="0" fontId="26" fillId="0" borderId="11" applyAlignment="1">
      <alignment vertical="center"/>
    </xf>
    <xf numFmtId="0" fontId="27" fillId="0" borderId="12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left" vertical="center" wrapText="1"/>
    </xf>
    <xf numFmtId="49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49" fontId="7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textRotation="255"/>
    </xf>
    <xf numFmtId="165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7" fillId="0" borderId="1" applyAlignment="1" pivotButton="0" quotePrefix="0" xfId="0">
      <alignment horizontal="center" vertical="center"/>
    </xf>
    <xf numFmtId="0" fontId="0" fillId="0" borderId="17" pivotButton="0" quotePrefix="0" xfId="0"/>
    <xf numFmtId="165" fontId="7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4" tint="0.39997558519241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tabSelected="1" workbookViewId="0">
      <pane ySplit="5" topLeftCell="A22" activePane="bottomLeft" state="frozen"/>
      <selection activeCell="A1" sqref="A1"/>
      <selection pane="bottomLeft" activeCell="AU34" sqref="AU34"/>
    </sheetView>
  </sheetViews>
  <sheetFormatPr baseColWidth="8" defaultColWidth="8.73636363636364" defaultRowHeight="35" customHeight="1"/>
  <cols>
    <col width="6.73636363636364" customWidth="1" style="15" min="1" max="1"/>
    <col hidden="1" width="18.9272727272727" customWidth="1" style="16" min="2" max="2"/>
    <col width="9.26363636363636" customWidth="1" style="17" min="3" max="3"/>
    <col width="3.34545454545455" customWidth="1" style="15" min="4" max="6"/>
    <col width="5.72727272727273" customWidth="1" style="15" min="7" max="7"/>
    <col width="3.34545454545455" customWidth="1" style="15" min="8" max="32"/>
    <col width="3.34545454545455" customWidth="1" style="18" min="33" max="35"/>
    <col width="15" customWidth="1" style="19" min="36" max="36"/>
    <col width="5.47272727272727" customWidth="1" style="15" min="37" max="51"/>
    <col width="8.73636363636364" customWidth="1" style="15" min="52" max="16384"/>
  </cols>
  <sheetData>
    <row r="1" ht="34.9" customHeight="1" s="45">
      <c r="A1" s="20" t="inlineStr">
        <is>
          <t>选择时间</t>
        </is>
      </c>
      <c r="C1" s="21" t="n">
        <v>2026</v>
      </c>
      <c r="E1" s="22" t="inlineStr">
        <is>
          <t>年</t>
        </is>
      </c>
      <c r="G1" s="23" t="n">
        <v>1</v>
      </c>
      <c r="H1" s="24" t="n"/>
      <c r="I1" s="25" t="inlineStr">
        <is>
          <t>月</t>
        </is>
      </c>
    </row>
    <row r="2" ht="30" customFormat="1" customHeight="1" s="13">
      <c r="A2" s="26" t="n"/>
      <c r="B2" s="46">
        <f>C1&amp;E1&amp;G1&amp;I1&amp;"考勤表"</f>
        <v/>
      </c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47" t="n"/>
      <c r="AF2" s="47" t="n"/>
      <c r="AG2" s="47" t="n"/>
      <c r="AH2" s="47" t="n"/>
      <c r="AI2" s="47" t="n"/>
      <c r="AJ2" s="48" t="n"/>
    </row>
    <row r="3" ht="34" customHeight="1" s="45">
      <c r="A3" s="30" t="inlineStr">
        <is>
          <t>部门：</t>
        </is>
      </c>
      <c r="B3" s="31" t="inlineStr">
        <is>
          <t>示例部门</t>
        </is>
      </c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47" t="n"/>
      <c r="AG3" s="47" t="n"/>
      <c r="AH3" s="47" t="n"/>
      <c r="AI3" s="47" t="n"/>
      <c r="AJ3" s="48" t="n"/>
      <c r="AK3" s="19" t="inlineStr">
        <is>
          <t>√</t>
        </is>
      </c>
      <c r="AL3" s="19" t="inlineStr">
        <is>
          <t>●</t>
        </is>
      </c>
      <c r="AM3" s="32" t="inlineStr">
        <is>
          <t>◎</t>
        </is>
      </c>
      <c r="AN3" s="32" t="inlineStr">
        <is>
          <t>○</t>
        </is>
      </c>
      <c r="AO3" s="19" t="inlineStr">
        <is>
          <t>☆</t>
        </is>
      </c>
      <c r="AP3" s="19" t="inlineStr">
        <is>
          <t>※</t>
        </is>
      </c>
      <c r="AQ3" s="19" t="inlineStr">
        <is>
          <t>◇</t>
        </is>
      </c>
      <c r="AR3" s="19" t="inlineStr">
        <is>
          <t>×</t>
        </is>
      </c>
      <c r="AS3" s="19" t="inlineStr">
        <is>
          <t>△</t>
        </is>
      </c>
      <c r="AT3" s="19" t="inlineStr">
        <is>
          <t>÷</t>
        </is>
      </c>
      <c r="AU3" s="19" t="inlineStr">
        <is>
          <t>＃</t>
        </is>
      </c>
      <c r="AV3" s="19" t="inlineStr">
        <is>
          <t>¤</t>
        </is>
      </c>
      <c r="AW3" s="33" t="inlineStr">
        <is>
          <t>Ω</t>
        </is>
      </c>
      <c r="AX3" s="19" t="inlineStr">
        <is>
          <t>▽</t>
        </is>
      </c>
      <c r="AY3" s="19" t="inlineStr">
        <is>
          <t>＋</t>
        </is>
      </c>
    </row>
    <row r="4" ht="30" customHeight="1" s="45">
      <c r="A4" s="34" t="inlineStr">
        <is>
          <t>姓名</t>
        </is>
      </c>
      <c r="B4" s="35" t="inlineStr">
        <is>
          <t>身份证号</t>
        </is>
      </c>
      <c r="C4" s="36" t="inlineStr">
        <is>
          <t>考勤时间</t>
        </is>
      </c>
      <c r="D4" s="44" t="inlineStr">
        <is>
          <t>星期</t>
        </is>
      </c>
      <c r="E4" s="49">
        <f>E5</f>
        <v/>
      </c>
      <c r="F4" s="49">
        <f>F5</f>
        <v/>
      </c>
      <c r="G4" s="49">
        <f>G5</f>
        <v/>
      </c>
      <c r="H4" s="49">
        <f>H5</f>
        <v/>
      </c>
      <c r="I4" s="49">
        <f>I5</f>
        <v/>
      </c>
      <c r="J4" s="49">
        <f>J5</f>
        <v/>
      </c>
      <c r="K4" s="49">
        <f>K5</f>
        <v/>
      </c>
      <c r="L4" s="49">
        <f>L5</f>
        <v/>
      </c>
      <c r="M4" s="49">
        <f>M5</f>
        <v/>
      </c>
      <c r="N4" s="49">
        <f>N5</f>
        <v/>
      </c>
      <c r="O4" s="49">
        <f>O5</f>
        <v/>
      </c>
      <c r="P4" s="49">
        <f>P5</f>
        <v/>
      </c>
      <c r="Q4" s="49">
        <f>Q5</f>
        <v/>
      </c>
      <c r="R4" s="49">
        <f>R5</f>
        <v/>
      </c>
      <c r="S4" s="49">
        <f>S5</f>
        <v/>
      </c>
      <c r="T4" s="49">
        <f>T5</f>
        <v/>
      </c>
      <c r="U4" s="49">
        <f>U5</f>
        <v/>
      </c>
      <c r="V4" s="49">
        <f>V5</f>
        <v/>
      </c>
      <c r="W4" s="49">
        <f>W5</f>
        <v/>
      </c>
      <c r="X4" s="49">
        <f>X5</f>
        <v/>
      </c>
      <c r="Y4" s="49">
        <f>Y5</f>
        <v/>
      </c>
      <c r="Z4" s="49">
        <f>Z5</f>
        <v/>
      </c>
      <c r="AA4" s="49">
        <f>AA5</f>
        <v/>
      </c>
      <c r="AB4" s="49">
        <f>AB5</f>
        <v/>
      </c>
      <c r="AC4" s="49">
        <f>AC5</f>
        <v/>
      </c>
      <c r="AD4" s="49">
        <f>AD5</f>
        <v/>
      </c>
      <c r="AE4" s="49">
        <f>AE5</f>
        <v/>
      </c>
      <c r="AF4" s="49">
        <f>AF5</f>
        <v/>
      </c>
      <c r="AG4" s="49">
        <f>AG5</f>
        <v/>
      </c>
      <c r="AH4" s="49">
        <f>AH5</f>
        <v/>
      </c>
      <c r="AI4" s="49">
        <f>AI5</f>
        <v/>
      </c>
      <c r="AJ4" s="44" t="inlineStr">
        <is>
          <t>备注</t>
        </is>
      </c>
      <c r="AK4" s="39" t="inlineStr">
        <is>
          <t>出勤</t>
        </is>
      </c>
      <c r="AL4" s="39" t="inlineStr">
        <is>
          <t>休假</t>
        </is>
      </c>
      <c r="AM4" s="39" t="inlineStr">
        <is>
          <t>未打卡</t>
        </is>
      </c>
      <c r="AN4" s="39" t="inlineStr">
        <is>
          <t>事假</t>
        </is>
      </c>
      <c r="AO4" s="39" t="inlineStr">
        <is>
          <t>病假</t>
        </is>
      </c>
      <c r="AP4" s="39" t="inlineStr">
        <is>
          <t>迟到</t>
        </is>
      </c>
      <c r="AQ4" s="39" t="inlineStr">
        <is>
          <t>早退</t>
        </is>
      </c>
      <c r="AR4" s="39" t="inlineStr">
        <is>
          <t>旷工</t>
        </is>
      </c>
      <c r="AS4" s="39" t="inlineStr">
        <is>
          <t>出差</t>
        </is>
      </c>
      <c r="AT4" s="39" t="inlineStr">
        <is>
          <t>年休</t>
        </is>
      </c>
      <c r="AU4" s="39" t="inlineStr">
        <is>
          <t>调休</t>
        </is>
      </c>
      <c r="AV4" s="39" t="inlineStr">
        <is>
          <t>护理假</t>
        </is>
      </c>
      <c r="AW4" s="39" t="inlineStr">
        <is>
          <t>婚假</t>
        </is>
      </c>
      <c r="AX4" s="39" t="inlineStr">
        <is>
          <t>丧假</t>
        </is>
      </c>
      <c r="AY4" s="39" t="inlineStr">
        <is>
          <t>产假</t>
        </is>
      </c>
    </row>
    <row r="5" ht="30" customHeight="1" s="45">
      <c r="A5" s="50" t="n"/>
      <c r="B5" s="50" t="n"/>
      <c r="C5" s="50" t="n"/>
      <c r="D5" s="34" t="inlineStr">
        <is>
          <t>日</t>
        </is>
      </c>
      <c r="E5" s="51">
        <f>DATE(C1,G1,1)</f>
        <v/>
      </c>
      <c r="F5" s="51">
        <f>E5+1</f>
        <v/>
      </c>
      <c r="G5" s="51">
        <f>F5+1</f>
        <v/>
      </c>
      <c r="H5" s="51">
        <f>G5+1</f>
        <v/>
      </c>
      <c r="I5" s="51">
        <f>H5+1</f>
        <v/>
      </c>
      <c r="J5" s="51">
        <f>I5+1</f>
        <v/>
      </c>
      <c r="K5" s="51">
        <f>J5+1</f>
        <v/>
      </c>
      <c r="L5" s="51">
        <f>K5+1</f>
        <v/>
      </c>
      <c r="M5" s="51">
        <f>L5+1</f>
        <v/>
      </c>
      <c r="N5" s="51">
        <f>M5+1</f>
        <v/>
      </c>
      <c r="O5" s="51">
        <f>N5+1</f>
        <v/>
      </c>
      <c r="P5" s="51">
        <f>O5+1</f>
        <v/>
      </c>
      <c r="Q5" s="51">
        <f>P5+1</f>
        <v/>
      </c>
      <c r="R5" s="51">
        <f>Q5+1</f>
        <v/>
      </c>
      <c r="S5" s="51">
        <f>R5+1</f>
        <v/>
      </c>
      <c r="T5" s="51">
        <f>S5+1</f>
        <v/>
      </c>
      <c r="U5" s="51">
        <f>T5+1</f>
        <v/>
      </c>
      <c r="V5" s="51">
        <f>U5+1</f>
        <v/>
      </c>
      <c r="W5" s="51">
        <f>V5+1</f>
        <v/>
      </c>
      <c r="X5" s="51">
        <f>W5+1</f>
        <v/>
      </c>
      <c r="Y5" s="51">
        <f>X5+1</f>
        <v/>
      </c>
      <c r="Z5" s="51">
        <f>Y5+1</f>
        <v/>
      </c>
      <c r="AA5" s="51">
        <f>Z5+1</f>
        <v/>
      </c>
      <c r="AB5" s="51">
        <f>AA5+1</f>
        <v/>
      </c>
      <c r="AC5" s="51">
        <f>AB5+1</f>
        <v/>
      </c>
      <c r="AD5" s="51">
        <f>AC5+1</f>
        <v/>
      </c>
      <c r="AE5" s="51">
        <f>AD5+1</f>
        <v/>
      </c>
      <c r="AF5" s="51">
        <f>AE5+1</f>
        <v/>
      </c>
      <c r="AG5" s="51">
        <f>AF5+1</f>
        <v/>
      </c>
      <c r="AH5" s="51">
        <f>AG5+1</f>
        <v/>
      </c>
      <c r="AI5" s="51">
        <f>AH5+1</f>
        <v/>
      </c>
      <c r="AJ5" s="44" t="n"/>
    </row>
    <row r="6" ht="30" customHeight="1" s="45">
      <c r="A6" s="43" t="inlineStr">
        <is>
          <t>员工A</t>
        </is>
      </c>
      <c r="B6" s="11" t="n"/>
      <c r="C6" s="34" t="inlineStr">
        <is>
          <t>上午</t>
        </is>
      </c>
      <c r="D6" s="42" t="n"/>
      <c r="E6" s="51" t="n"/>
      <c r="F6" s="51" t="n"/>
      <c r="G6" s="51" t="n"/>
      <c r="H6" s="51" t="n"/>
      <c r="I6" s="51" t="inlineStr">
        <is>
          <t>√</t>
        </is>
      </c>
      <c r="J6" s="51" t="inlineStr">
        <is>
          <t>√</t>
        </is>
      </c>
      <c r="K6" s="51" t="inlineStr">
        <is>
          <t>√</t>
        </is>
      </c>
      <c r="L6" s="51" t="inlineStr">
        <is>
          <t>√</t>
        </is>
      </c>
      <c r="M6" s="51" t="inlineStr">
        <is>
          <t>√</t>
        </is>
      </c>
      <c r="N6" s="51" t="n"/>
      <c r="O6" s="51" t="n"/>
      <c r="P6" s="51" t="inlineStr">
        <is>
          <t>√</t>
        </is>
      </c>
      <c r="Q6" s="51" t="inlineStr">
        <is>
          <t>√</t>
        </is>
      </c>
      <c r="R6" s="51" t="inlineStr">
        <is>
          <t>√</t>
        </is>
      </c>
      <c r="S6" s="51" t="inlineStr">
        <is>
          <t>√</t>
        </is>
      </c>
      <c r="T6" s="51" t="inlineStr">
        <is>
          <t>√</t>
        </is>
      </c>
      <c r="U6" s="51" t="n"/>
      <c r="V6" s="51" t="n"/>
      <c r="W6" s="51" t="inlineStr">
        <is>
          <t>√</t>
        </is>
      </c>
      <c r="X6" s="51" t="inlineStr">
        <is>
          <t>√</t>
        </is>
      </c>
      <c r="Y6" s="51" t="inlineStr">
        <is>
          <t>√</t>
        </is>
      </c>
      <c r="Z6" s="51" t="inlineStr">
        <is>
          <t>√</t>
        </is>
      </c>
      <c r="AA6" s="51" t="inlineStr">
        <is>
          <t>√</t>
        </is>
      </c>
      <c r="AB6" s="51" t="n"/>
      <c r="AC6" s="51" t="n"/>
      <c r="AD6" s="51" t="inlineStr">
        <is>
          <t>√</t>
        </is>
      </c>
      <c r="AE6" s="51" t="inlineStr">
        <is>
          <t>√</t>
        </is>
      </c>
      <c r="AF6" s="51" t="inlineStr">
        <is>
          <t>√</t>
        </is>
      </c>
      <c r="AG6" s="51" t="inlineStr">
        <is>
          <t>√</t>
        </is>
      </c>
      <c r="AH6" s="51" t="inlineStr">
        <is>
          <t>√</t>
        </is>
      </c>
      <c r="AI6" s="51" t="n"/>
      <c r="AJ6" s="44" t="n"/>
      <c r="AK6" s="15">
        <f>COUNTIF(E6:AI6,"√")</f>
        <v/>
      </c>
      <c r="AL6" s="15">
        <f>COUNTIF(E6:AI6,"●")</f>
        <v/>
      </c>
      <c r="AM6" s="15">
        <f>COUNTIF(E6:AI6,"◎")</f>
        <v/>
      </c>
      <c r="AN6" s="15" t="n">
        <v>0</v>
      </c>
      <c r="AO6" s="15">
        <f>COUNTIF(E6:AI6,"☆")</f>
        <v/>
      </c>
      <c r="AP6" s="15">
        <f>COUNTIF(E6:AI6,"※")</f>
        <v/>
      </c>
      <c r="AQ6" s="15">
        <f>COUNTIF(E6:AI6,"◇")</f>
        <v/>
      </c>
      <c r="AR6" s="15">
        <f>COUNTIF(E6:AI6,"×")</f>
        <v/>
      </c>
      <c r="AS6" s="15">
        <f>COUNTIF(E6:AI6,"△")</f>
        <v/>
      </c>
      <c r="AT6" s="15">
        <f>COUNTIF(E6:AI6,"÷")</f>
        <v/>
      </c>
      <c r="AU6" s="15">
        <f>COUNTIF(E6:AI6,"＃")</f>
        <v/>
      </c>
      <c r="AV6" s="15">
        <f>COUNTIF(E6:AI6,"¤")</f>
        <v/>
      </c>
      <c r="AW6" s="15">
        <f>COUNTIF(E6:AI6,"Ω")</f>
        <v/>
      </c>
      <c r="AX6" s="15">
        <f>COUNTIF(E6:AI6,"▽")</f>
        <v/>
      </c>
      <c r="AY6" s="15">
        <f>COUNTIF(E6:AI6,"👶")</f>
        <v/>
      </c>
    </row>
    <row r="7" ht="30" customHeight="1" s="45">
      <c r="A7" s="50" t="n"/>
      <c r="B7" s="50" t="n"/>
      <c r="C7" s="34" t="inlineStr">
        <is>
          <t>下午</t>
        </is>
      </c>
      <c r="D7" s="42" t="n"/>
      <c r="E7" s="51" t="n"/>
      <c r="F7" s="51" t="n"/>
      <c r="G7" s="51" t="n"/>
      <c r="H7" s="51" t="n"/>
      <c r="I7" s="51" t="inlineStr">
        <is>
          <t>√</t>
        </is>
      </c>
      <c r="J7" s="51" t="inlineStr">
        <is>
          <t>√</t>
        </is>
      </c>
      <c r="K7" s="51" t="inlineStr">
        <is>
          <t>√</t>
        </is>
      </c>
      <c r="L7" s="51" t="inlineStr">
        <is>
          <t>√</t>
        </is>
      </c>
      <c r="M7" s="51" t="inlineStr">
        <is>
          <t>√</t>
        </is>
      </c>
      <c r="N7" s="51" t="n"/>
      <c r="O7" s="51" t="n"/>
      <c r="P7" s="51" t="inlineStr">
        <is>
          <t>√</t>
        </is>
      </c>
      <c r="Q7" s="51" t="inlineStr">
        <is>
          <t>√</t>
        </is>
      </c>
      <c r="R7" s="51" t="inlineStr">
        <is>
          <t>√</t>
        </is>
      </c>
      <c r="S7" s="51" t="inlineStr">
        <is>
          <t>√</t>
        </is>
      </c>
      <c r="T7" s="51" t="inlineStr">
        <is>
          <t>√</t>
        </is>
      </c>
      <c r="U7" s="51" t="n"/>
      <c r="V7" s="51" t="n"/>
      <c r="W7" s="51" t="inlineStr">
        <is>
          <t>√</t>
        </is>
      </c>
      <c r="X7" s="51" t="inlineStr">
        <is>
          <t>√</t>
        </is>
      </c>
      <c r="Y7" s="51" t="inlineStr">
        <is>
          <t>√</t>
        </is>
      </c>
      <c r="Z7" s="51" t="inlineStr">
        <is>
          <t>√</t>
        </is>
      </c>
      <c r="AA7" s="51" t="inlineStr">
        <is>
          <t>√</t>
        </is>
      </c>
      <c r="AB7" s="51" t="n"/>
      <c r="AC7" s="51" t="n"/>
      <c r="AD7" s="51" t="inlineStr">
        <is>
          <t>√</t>
        </is>
      </c>
      <c r="AE7" s="51" t="inlineStr">
        <is>
          <t>√</t>
        </is>
      </c>
      <c r="AF7" s="51" t="inlineStr">
        <is>
          <t>√</t>
        </is>
      </c>
      <c r="AG7" s="51" t="inlineStr">
        <is>
          <t>√</t>
        </is>
      </c>
      <c r="AH7" s="51" t="inlineStr">
        <is>
          <t>√</t>
        </is>
      </c>
      <c r="AI7" s="51" t="n"/>
      <c r="AJ7" s="50" t="n"/>
      <c r="AK7" s="15">
        <f>COUNTIF(E7:AI7,"√")</f>
        <v/>
      </c>
      <c r="AL7" s="15">
        <f>COUNTIF(E7:AI7,"●")</f>
        <v/>
      </c>
      <c r="AM7" s="15">
        <f>COUNTIF(E7:AI7,"◎")</f>
        <v/>
      </c>
      <c r="AN7" s="15">
        <f>COUNTIF(E7:AI7,"○")</f>
        <v/>
      </c>
      <c r="AO7" s="15">
        <f>COUNTIF(E7:AI7,"☆")</f>
        <v/>
      </c>
      <c r="AP7" s="15">
        <f>COUNTIF(E7:AI7,"※")</f>
        <v/>
      </c>
      <c r="AQ7" s="15">
        <f>COUNTIF(E7:AI7,"◇")</f>
        <v/>
      </c>
      <c r="AR7" s="15">
        <f>COUNTIF(E7:AI7,"×")</f>
        <v/>
      </c>
      <c r="AS7" s="15">
        <f>COUNTIF(E7:AI7,"△")</f>
        <v/>
      </c>
      <c r="AT7" s="15">
        <f>COUNTIF(E7:AI7,"÷")</f>
        <v/>
      </c>
      <c r="AU7" s="15">
        <f>COUNTIF(E7:AI7,"＃")</f>
        <v/>
      </c>
      <c r="AV7" s="15">
        <f>COUNTIF(E7:AI7,"¤")</f>
        <v/>
      </c>
      <c r="AW7" s="15">
        <f>COUNTIF(E7:AI7,"Ω")</f>
        <v/>
      </c>
      <c r="AX7" s="15">
        <f>COUNTIF(E7:AI7,"▽")</f>
        <v/>
      </c>
      <c r="AY7" s="15">
        <f>COUNTIF(E7:AI7,"👶")</f>
        <v/>
      </c>
    </row>
    <row r="8" ht="30" customHeight="1" s="45">
      <c r="A8" s="43" t="inlineStr">
        <is>
          <t>员工B</t>
        </is>
      </c>
      <c r="B8" s="11" t="n"/>
      <c r="C8" s="34" t="inlineStr">
        <is>
          <t>上午</t>
        </is>
      </c>
      <c r="D8" s="34" t="n"/>
      <c r="E8" s="51" t="n"/>
      <c r="F8" s="51" t="n"/>
      <c r="G8" s="51" t="n"/>
      <c r="H8" s="51" t="n"/>
      <c r="I8" s="51" t="inlineStr">
        <is>
          <t>√</t>
        </is>
      </c>
      <c r="J8" s="51" t="inlineStr">
        <is>
          <t>√</t>
        </is>
      </c>
      <c r="K8" s="51" t="inlineStr">
        <is>
          <t>√</t>
        </is>
      </c>
      <c r="L8" s="51" t="inlineStr">
        <is>
          <t>√</t>
        </is>
      </c>
      <c r="M8" s="51" t="inlineStr">
        <is>
          <t>√</t>
        </is>
      </c>
      <c r="N8" s="51" t="n"/>
      <c r="O8" s="51" t="n"/>
      <c r="P8" s="51" t="inlineStr">
        <is>
          <t>√</t>
        </is>
      </c>
      <c r="Q8" s="51" t="inlineStr">
        <is>
          <t>√</t>
        </is>
      </c>
      <c r="R8" s="51" t="inlineStr">
        <is>
          <t>√</t>
        </is>
      </c>
      <c r="S8" s="51" t="inlineStr">
        <is>
          <t>√</t>
        </is>
      </c>
      <c r="T8" s="51" t="inlineStr">
        <is>
          <t>√</t>
        </is>
      </c>
      <c r="U8" s="51" t="n"/>
      <c r="V8" s="51" t="n"/>
      <c r="W8" s="51" t="inlineStr">
        <is>
          <t>√</t>
        </is>
      </c>
      <c r="X8" s="51" t="inlineStr">
        <is>
          <t>√</t>
        </is>
      </c>
      <c r="Y8" s="51" t="inlineStr">
        <is>
          <t>√</t>
        </is>
      </c>
      <c r="Z8" s="51" t="inlineStr">
        <is>
          <t>√</t>
        </is>
      </c>
      <c r="AA8" s="51" t="inlineStr">
        <is>
          <t>√</t>
        </is>
      </c>
      <c r="AB8" s="51" t="n"/>
      <c r="AC8" s="51" t="n"/>
      <c r="AD8" s="51" t="inlineStr">
        <is>
          <t>√</t>
        </is>
      </c>
      <c r="AE8" s="51" t="inlineStr">
        <is>
          <t>√</t>
        </is>
      </c>
      <c r="AF8" s="51" t="inlineStr">
        <is>
          <t>√</t>
        </is>
      </c>
      <c r="AG8" s="51" t="inlineStr">
        <is>
          <t>√</t>
        </is>
      </c>
      <c r="AH8" s="51" t="inlineStr">
        <is>
          <t>√</t>
        </is>
      </c>
      <c r="AI8" s="51" t="n"/>
      <c r="AJ8" s="44" t="n"/>
      <c r="AK8" s="15">
        <f>COUNTIF(E8:AI8,"√")</f>
        <v/>
      </c>
      <c r="AL8" s="15">
        <f>COUNTIF(E8:AI8,"●")</f>
        <v/>
      </c>
      <c r="AM8" s="15">
        <f>COUNTIF(E8:AI8,"◎")</f>
        <v/>
      </c>
      <c r="AN8" s="15">
        <f>COUNTIF(E8:AI8,"○")</f>
        <v/>
      </c>
      <c r="AO8" s="15">
        <f>COUNTIF(E8:AI8,"☆")</f>
        <v/>
      </c>
      <c r="AP8" s="15">
        <f>COUNTIF(E8:AI8,"※")</f>
        <v/>
      </c>
      <c r="AQ8" s="15">
        <f>COUNTIF(E8:AI8,"◇")</f>
        <v/>
      </c>
      <c r="AR8" s="15">
        <f>COUNTIF(E8:AI8,"×")</f>
        <v/>
      </c>
      <c r="AS8" s="15">
        <f>COUNTIF(E8:AI8,"△")</f>
        <v/>
      </c>
      <c r="AT8" s="15" t="n">
        <v>0</v>
      </c>
      <c r="AU8" s="15" t="n">
        <v>0</v>
      </c>
      <c r="AV8" s="15">
        <f>COUNTIF(E8:AI8,"¤")</f>
        <v/>
      </c>
      <c r="AW8" s="15">
        <f>COUNTIF(E8:AI8,"Ω")</f>
        <v/>
      </c>
      <c r="AX8" s="15">
        <f>COUNTIF(E8:AI8,"▽")</f>
        <v/>
      </c>
      <c r="AY8" s="15">
        <f>COUNTIF(E8:AI8,"👶")</f>
        <v/>
      </c>
    </row>
    <row r="9" ht="30" customHeight="1" s="45">
      <c r="A9" s="50" t="n"/>
      <c r="B9" s="50" t="n"/>
      <c r="C9" s="34" t="inlineStr">
        <is>
          <t>下午</t>
        </is>
      </c>
      <c r="D9" s="34" t="n"/>
      <c r="E9" s="51" t="n"/>
      <c r="F9" s="51" t="n"/>
      <c r="G9" s="51" t="n"/>
      <c r="H9" s="51" t="n"/>
      <c r="I9" s="51" t="inlineStr">
        <is>
          <t>√</t>
        </is>
      </c>
      <c r="J9" s="51" t="inlineStr">
        <is>
          <t>√</t>
        </is>
      </c>
      <c r="K9" s="51" t="inlineStr">
        <is>
          <t>√</t>
        </is>
      </c>
      <c r="L9" s="51" t="inlineStr">
        <is>
          <t>√</t>
        </is>
      </c>
      <c r="M9" s="51" t="inlineStr">
        <is>
          <t>√</t>
        </is>
      </c>
      <c r="N9" s="51" t="n"/>
      <c r="O9" s="51" t="n"/>
      <c r="P9" s="51" t="inlineStr">
        <is>
          <t>√</t>
        </is>
      </c>
      <c r="Q9" s="51" t="inlineStr">
        <is>
          <t>√</t>
        </is>
      </c>
      <c r="R9" s="51" t="inlineStr">
        <is>
          <t>√</t>
        </is>
      </c>
      <c r="S9" s="51" t="inlineStr">
        <is>
          <t>√</t>
        </is>
      </c>
      <c r="T9" s="51" t="inlineStr">
        <is>
          <t>√</t>
        </is>
      </c>
      <c r="U9" s="51" t="n"/>
      <c r="V9" s="51" t="n"/>
      <c r="W9" s="51" t="inlineStr">
        <is>
          <t>√</t>
        </is>
      </c>
      <c r="X9" s="51" t="inlineStr">
        <is>
          <t>√</t>
        </is>
      </c>
      <c r="Y9" s="51" t="inlineStr">
        <is>
          <t>√</t>
        </is>
      </c>
      <c r="Z9" s="51" t="inlineStr">
        <is>
          <t>√</t>
        </is>
      </c>
      <c r="AA9" s="51" t="inlineStr">
        <is>
          <t>√</t>
        </is>
      </c>
      <c r="AB9" s="51" t="n"/>
      <c r="AC9" s="51" t="n"/>
      <c r="AD9" s="51" t="inlineStr">
        <is>
          <t>√</t>
        </is>
      </c>
      <c r="AE9" s="51" t="inlineStr">
        <is>
          <t>√</t>
        </is>
      </c>
      <c r="AF9" s="51" t="inlineStr">
        <is>
          <t>√</t>
        </is>
      </c>
      <c r="AG9" s="51" t="inlineStr">
        <is>
          <t>√</t>
        </is>
      </c>
      <c r="AH9" s="51" t="inlineStr">
        <is>
          <t>√</t>
        </is>
      </c>
      <c r="AI9" s="51" t="n"/>
      <c r="AJ9" s="50" t="n"/>
      <c r="AK9" s="15">
        <f>COUNTIF(E9:AI9,"√")</f>
        <v/>
      </c>
      <c r="AL9" s="15">
        <f>COUNTIF(E9:AI9,"●")</f>
        <v/>
      </c>
      <c r="AM9" s="15">
        <f>COUNTIF(E9:AI9,"◎")</f>
        <v/>
      </c>
      <c r="AN9" s="15">
        <f>COUNTIF(E9:AI9,"○")</f>
        <v/>
      </c>
      <c r="AO9" s="15">
        <f>COUNTIF(E9:AI9,"☆")</f>
        <v/>
      </c>
      <c r="AP9" s="15">
        <f>COUNTIF(E9:AI9,"※")</f>
        <v/>
      </c>
      <c r="AQ9" s="15">
        <f>COUNTIF(E9:AI9,"◇")</f>
        <v/>
      </c>
      <c r="AR9" s="15">
        <f>COUNTIF(E9:AI9,"×")</f>
        <v/>
      </c>
      <c r="AS9" s="15">
        <f>COUNTIF(E9:AI9,"△")</f>
        <v/>
      </c>
      <c r="AT9" s="15" t="n">
        <v>0</v>
      </c>
      <c r="AU9" s="15" t="n">
        <v>0</v>
      </c>
      <c r="AV9" s="15">
        <f>COUNTIF(E9:AI9,"¤")</f>
        <v/>
      </c>
      <c r="AW9" s="15">
        <f>COUNTIF(E9:AI9,"Ω")</f>
        <v/>
      </c>
      <c r="AX9" s="15">
        <f>COUNTIF(E9:AI9,"▽")</f>
        <v/>
      </c>
      <c r="AY9" s="15">
        <f>COUNTIF(E9:AI9,"👶")</f>
        <v/>
      </c>
    </row>
    <row r="10" ht="30" customFormat="1" customHeight="1" s="14">
      <c r="A10" s="43" t="inlineStr">
        <is>
          <t>员工C</t>
        </is>
      </c>
      <c r="B10" s="11" t="n"/>
      <c r="C10" s="34" t="inlineStr">
        <is>
          <t>上午</t>
        </is>
      </c>
      <c r="D10" s="34" t="n"/>
      <c r="E10" s="51" t="n"/>
      <c r="F10" s="51" t="n"/>
      <c r="G10" s="51" t="n"/>
      <c r="H10" s="51" t="n"/>
      <c r="I10" s="51" t="inlineStr">
        <is>
          <t>√</t>
        </is>
      </c>
      <c r="J10" s="51" t="inlineStr">
        <is>
          <t>√</t>
        </is>
      </c>
      <c r="K10" s="51" t="inlineStr">
        <is>
          <t>√</t>
        </is>
      </c>
      <c r="L10" s="51" t="inlineStr">
        <is>
          <t>√</t>
        </is>
      </c>
      <c r="M10" s="51" t="inlineStr">
        <is>
          <t>√</t>
        </is>
      </c>
      <c r="N10" s="51" t="n"/>
      <c r="O10" s="51" t="n"/>
      <c r="P10" s="51" t="inlineStr">
        <is>
          <t>√</t>
        </is>
      </c>
      <c r="Q10" s="51" t="inlineStr">
        <is>
          <t>√</t>
        </is>
      </c>
      <c r="R10" s="51" t="inlineStr">
        <is>
          <t>√</t>
        </is>
      </c>
      <c r="S10" s="51" t="inlineStr">
        <is>
          <t>√</t>
        </is>
      </c>
      <c r="T10" s="51" t="inlineStr">
        <is>
          <t>√</t>
        </is>
      </c>
      <c r="U10" s="51" t="n"/>
      <c r="V10" s="51" t="n"/>
      <c r="W10" s="51" t="inlineStr">
        <is>
          <t>√</t>
        </is>
      </c>
      <c r="X10" s="51" t="inlineStr">
        <is>
          <t>√</t>
        </is>
      </c>
      <c r="Y10" s="51" t="inlineStr">
        <is>
          <t>√</t>
        </is>
      </c>
      <c r="Z10" s="51" t="inlineStr">
        <is>
          <t>√</t>
        </is>
      </c>
      <c r="AA10" s="51" t="inlineStr">
        <is>
          <t>√</t>
        </is>
      </c>
      <c r="AB10" s="51" t="n"/>
      <c r="AC10" s="51" t="n"/>
      <c r="AD10" s="51" t="inlineStr">
        <is>
          <t>√</t>
        </is>
      </c>
      <c r="AE10" s="51" t="inlineStr">
        <is>
          <t>√</t>
        </is>
      </c>
      <c r="AF10" s="51" t="inlineStr">
        <is>
          <t>√</t>
        </is>
      </c>
      <c r="AG10" s="51" t="inlineStr">
        <is>
          <t>√</t>
        </is>
      </c>
      <c r="AH10" s="51" t="inlineStr">
        <is>
          <t>√</t>
        </is>
      </c>
      <c r="AI10" s="51" t="n"/>
      <c r="AJ10" s="44" t="n"/>
      <c r="AK10" s="15">
        <f>COUNTIF(E10:AI10,"√")</f>
        <v/>
      </c>
      <c r="AL10" s="15">
        <f>COUNTIF(E10:AI10,"●")</f>
        <v/>
      </c>
      <c r="AM10" s="15">
        <f>COUNTIF(E10:AI10,"◎")</f>
        <v/>
      </c>
      <c r="AN10" s="15">
        <f>COUNTIF(E10:AI10,"○")</f>
        <v/>
      </c>
      <c r="AO10" s="15">
        <f>COUNTIF(E10:AI10,"☆")</f>
        <v/>
      </c>
      <c r="AP10" s="15">
        <f>COUNTIF(E10:AI10,"※")</f>
        <v/>
      </c>
      <c r="AQ10" s="15">
        <f>COUNTIF(E10:AI10,"◇")</f>
        <v/>
      </c>
      <c r="AR10" s="15">
        <f>COUNTIF(E10:AI10,"×")</f>
        <v/>
      </c>
      <c r="AS10" s="15">
        <f>COUNTIF(E10:AI10,"△")</f>
        <v/>
      </c>
      <c r="AT10" s="15">
        <f>COUNTIF(E10:AI10,"÷")</f>
        <v/>
      </c>
      <c r="AU10" s="15" t="n">
        <v>0</v>
      </c>
      <c r="AV10" s="15">
        <f>COUNTIF(E10:AI10,"¤")</f>
        <v/>
      </c>
      <c r="AW10" s="15">
        <f>COUNTIF(E10:AI10,"Ω")</f>
        <v/>
      </c>
      <c r="AX10" s="15">
        <f>COUNTIF(E10:AI10,"▽")</f>
        <v/>
      </c>
      <c r="AY10" s="15">
        <f>COUNTIF(E10:AI10,"👶")</f>
        <v/>
      </c>
    </row>
    <row r="11" ht="30" customFormat="1" customHeight="1" s="14">
      <c r="A11" s="50" t="n"/>
      <c r="B11" s="50" t="n"/>
      <c r="C11" s="34" t="inlineStr">
        <is>
          <t>下午</t>
        </is>
      </c>
      <c r="D11" s="34" t="n"/>
      <c r="E11" s="51" t="n"/>
      <c r="F11" s="51" t="n"/>
      <c r="G11" s="51" t="n"/>
      <c r="H11" s="51" t="n"/>
      <c r="I11" s="51" t="inlineStr">
        <is>
          <t>√</t>
        </is>
      </c>
      <c r="J11" s="51" t="inlineStr">
        <is>
          <t>√</t>
        </is>
      </c>
      <c r="K11" s="51" t="inlineStr">
        <is>
          <t>√</t>
        </is>
      </c>
      <c r="L11" s="51" t="inlineStr">
        <is>
          <t>√</t>
        </is>
      </c>
      <c r="M11" s="51" t="inlineStr">
        <is>
          <t>√</t>
        </is>
      </c>
      <c r="N11" s="51" t="n"/>
      <c r="O11" s="51" t="n"/>
      <c r="P11" s="51" t="inlineStr">
        <is>
          <t>√</t>
        </is>
      </c>
      <c r="Q11" s="51" t="inlineStr">
        <is>
          <t>√</t>
        </is>
      </c>
      <c r="R11" s="51" t="inlineStr">
        <is>
          <t>√</t>
        </is>
      </c>
      <c r="S11" s="51" t="inlineStr">
        <is>
          <t>√</t>
        </is>
      </c>
      <c r="T11" s="51" t="inlineStr">
        <is>
          <t>√</t>
        </is>
      </c>
      <c r="U11" s="51" t="n"/>
      <c r="V11" s="51" t="n"/>
      <c r="W11" s="51" t="inlineStr">
        <is>
          <t>√</t>
        </is>
      </c>
      <c r="X11" s="51" t="inlineStr">
        <is>
          <t>√</t>
        </is>
      </c>
      <c r="Y11" s="51" t="inlineStr">
        <is>
          <t>√</t>
        </is>
      </c>
      <c r="Z11" s="51" t="inlineStr">
        <is>
          <t>√</t>
        </is>
      </c>
      <c r="AA11" s="51" t="inlineStr">
        <is>
          <t>√</t>
        </is>
      </c>
      <c r="AB11" s="51" t="n"/>
      <c r="AC11" s="51" t="n"/>
      <c r="AD11" s="51" t="inlineStr">
        <is>
          <t>√</t>
        </is>
      </c>
      <c r="AE11" s="51" t="inlineStr">
        <is>
          <t>√</t>
        </is>
      </c>
      <c r="AF11" s="51" t="inlineStr">
        <is>
          <t>√</t>
        </is>
      </c>
      <c r="AG11" s="51" t="inlineStr">
        <is>
          <t>√</t>
        </is>
      </c>
      <c r="AH11" s="51" t="inlineStr">
        <is>
          <t>√</t>
        </is>
      </c>
      <c r="AI11" s="51" t="n"/>
      <c r="AJ11" s="50" t="n"/>
      <c r="AK11" s="15">
        <f>COUNTIF(E11:AI11,"√")</f>
        <v/>
      </c>
      <c r="AL11" s="15">
        <f>COUNTIF(E11:AI11,"●")</f>
        <v/>
      </c>
      <c r="AM11" s="15">
        <f>COUNTIF(E11:AI11,"◎")</f>
        <v/>
      </c>
      <c r="AN11" s="15">
        <f>COUNTIF(E11:AI11,"○")</f>
        <v/>
      </c>
      <c r="AO11" s="15">
        <f>COUNTIF(E11:AI11,"☆")</f>
        <v/>
      </c>
      <c r="AP11" s="15">
        <f>COUNTIF(E11:AI11,"※")</f>
        <v/>
      </c>
      <c r="AQ11" s="15">
        <f>COUNTIF(E11:AI11,"◇")</f>
        <v/>
      </c>
      <c r="AR11" s="15">
        <f>COUNTIF(E11:AI11,"×")</f>
        <v/>
      </c>
      <c r="AS11" s="15">
        <f>COUNTIF(E11:AI11,"△")</f>
        <v/>
      </c>
      <c r="AT11" s="15">
        <f>COUNTIF(E11:AI11,"÷")</f>
        <v/>
      </c>
      <c r="AU11" s="15">
        <f>COUNTIF(E11:AI11,"＃")</f>
        <v/>
      </c>
      <c r="AV11" s="15">
        <f>COUNTIF(E11:AI11,"¤")</f>
        <v/>
      </c>
      <c r="AW11" s="15">
        <f>COUNTIF(E11:AI11,"Ω")</f>
        <v/>
      </c>
      <c r="AX11" s="15">
        <f>COUNTIF(E11:AI11,"▽")</f>
        <v/>
      </c>
      <c r="AY11" s="15">
        <f>COUNTIF(E11:AI11,"👶")</f>
        <v/>
      </c>
    </row>
    <row r="12" ht="30" customHeight="1" s="45">
      <c r="A12" s="43" t="inlineStr">
        <is>
          <t>员工D</t>
        </is>
      </c>
      <c r="B12" s="11" t="n"/>
      <c r="C12" s="34" t="inlineStr">
        <is>
          <t>上午</t>
        </is>
      </c>
      <c r="D12" s="34" t="n"/>
      <c r="E12" s="51" t="n"/>
      <c r="F12" s="51" t="n"/>
      <c r="G12" s="51" t="n"/>
      <c r="H12" s="51" t="n"/>
      <c r="I12" s="51" t="inlineStr">
        <is>
          <t>√</t>
        </is>
      </c>
      <c r="J12" s="51" t="inlineStr">
        <is>
          <t>√</t>
        </is>
      </c>
      <c r="K12" s="51" t="inlineStr">
        <is>
          <t>√</t>
        </is>
      </c>
      <c r="L12" s="51" t="inlineStr">
        <is>
          <t>√</t>
        </is>
      </c>
      <c r="M12" s="51" t="inlineStr">
        <is>
          <t>√</t>
        </is>
      </c>
      <c r="N12" s="51" t="n"/>
      <c r="O12" s="51" t="n"/>
      <c r="P12" s="51" t="inlineStr">
        <is>
          <t>√</t>
        </is>
      </c>
      <c r="Q12" s="51" t="inlineStr">
        <is>
          <t>√</t>
        </is>
      </c>
      <c r="R12" s="51" t="inlineStr">
        <is>
          <t>√</t>
        </is>
      </c>
      <c r="S12" s="51" t="inlineStr">
        <is>
          <t>√</t>
        </is>
      </c>
      <c r="T12" s="51" t="inlineStr">
        <is>
          <t>√</t>
        </is>
      </c>
      <c r="U12" s="51" t="n"/>
      <c r="V12" s="51" t="n"/>
      <c r="W12" s="51" t="inlineStr">
        <is>
          <t>√</t>
        </is>
      </c>
      <c r="X12" s="51" t="inlineStr">
        <is>
          <t>√</t>
        </is>
      </c>
      <c r="Y12" s="51" t="inlineStr">
        <is>
          <t>√</t>
        </is>
      </c>
      <c r="Z12" s="51" t="inlineStr">
        <is>
          <t>√</t>
        </is>
      </c>
      <c r="AA12" s="51" t="inlineStr">
        <is>
          <t>√</t>
        </is>
      </c>
      <c r="AB12" s="51" t="n"/>
      <c r="AC12" s="51" t="n"/>
      <c r="AD12" s="51" t="inlineStr">
        <is>
          <t>√</t>
        </is>
      </c>
      <c r="AE12" s="51" t="inlineStr">
        <is>
          <t>√</t>
        </is>
      </c>
      <c r="AF12" s="51" t="inlineStr">
        <is>
          <t>√</t>
        </is>
      </c>
      <c r="AG12" s="51" t="inlineStr">
        <is>
          <t>√</t>
        </is>
      </c>
      <c r="AH12" s="51" t="inlineStr">
        <is>
          <t>√</t>
        </is>
      </c>
      <c r="AI12" s="42" t="n"/>
      <c r="AJ12" s="44" t="n"/>
      <c r="AK12" s="15">
        <f>COUNTIF(E12:AI12,"√")</f>
        <v/>
      </c>
      <c r="AL12" s="15">
        <f>COUNTIF(E12:AI12,"●")</f>
        <v/>
      </c>
      <c r="AM12" s="15">
        <f>COUNTIF(E12:AI12,"◎")</f>
        <v/>
      </c>
      <c r="AN12" s="15">
        <f>COUNTIF(E12:AI12,"○")</f>
        <v/>
      </c>
      <c r="AO12" s="15">
        <f>COUNTIF(E12:AI12,"☆")</f>
        <v/>
      </c>
      <c r="AP12" s="15">
        <f>COUNTIF(E12:AI12,"※")</f>
        <v/>
      </c>
      <c r="AQ12" s="15">
        <f>COUNTIF(E12:AI12,"◇")</f>
        <v/>
      </c>
      <c r="AR12" s="15">
        <f>COUNTIF(E12:AI12,"×")</f>
        <v/>
      </c>
      <c r="AS12" s="15">
        <f>COUNTIF(E12:AI12,"△")</f>
        <v/>
      </c>
      <c r="AT12" s="15">
        <f>COUNTIF(E12:AI12,"÷")</f>
        <v/>
      </c>
      <c r="AU12" s="15">
        <f>COUNTIF(E12:AI12,"＃")</f>
        <v/>
      </c>
      <c r="AV12" s="15">
        <f>COUNTIF(E12:AI12,"¤")</f>
        <v/>
      </c>
      <c r="AW12" s="15">
        <f>COUNTIF(E12:AI12,"Ω")</f>
        <v/>
      </c>
      <c r="AX12" s="15">
        <f>COUNTIF(E12:AI12,"▽")</f>
        <v/>
      </c>
      <c r="AY12" s="15">
        <f>COUNTIF(E12:AI12,"👶")</f>
        <v/>
      </c>
    </row>
    <row r="13" ht="30" customHeight="1" s="45">
      <c r="A13" s="50" t="n"/>
      <c r="B13" s="50" t="n"/>
      <c r="C13" s="34" t="inlineStr">
        <is>
          <t>下午</t>
        </is>
      </c>
      <c r="D13" s="34" t="n"/>
      <c r="E13" s="51" t="n"/>
      <c r="F13" s="51" t="n"/>
      <c r="G13" s="51" t="n"/>
      <c r="H13" s="51" t="n"/>
      <c r="I13" s="51" t="inlineStr">
        <is>
          <t>√</t>
        </is>
      </c>
      <c r="J13" s="51" t="inlineStr">
        <is>
          <t>√</t>
        </is>
      </c>
      <c r="K13" s="51" t="inlineStr">
        <is>
          <t>√</t>
        </is>
      </c>
      <c r="L13" s="51" t="inlineStr">
        <is>
          <t>√</t>
        </is>
      </c>
      <c r="M13" s="51" t="inlineStr">
        <is>
          <t>√</t>
        </is>
      </c>
      <c r="N13" s="51" t="n"/>
      <c r="O13" s="51" t="n"/>
      <c r="P13" s="51" t="inlineStr">
        <is>
          <t>√</t>
        </is>
      </c>
      <c r="Q13" s="51" t="inlineStr">
        <is>
          <t>√</t>
        </is>
      </c>
      <c r="R13" s="51" t="inlineStr">
        <is>
          <t>√</t>
        </is>
      </c>
      <c r="S13" s="51" t="inlineStr">
        <is>
          <t>√</t>
        </is>
      </c>
      <c r="T13" s="51" t="inlineStr">
        <is>
          <t>√</t>
        </is>
      </c>
      <c r="U13" s="51" t="n"/>
      <c r="V13" s="51" t="n"/>
      <c r="W13" s="51" t="inlineStr">
        <is>
          <t>√</t>
        </is>
      </c>
      <c r="X13" s="51" t="inlineStr">
        <is>
          <t>√</t>
        </is>
      </c>
      <c r="Y13" s="51" t="inlineStr">
        <is>
          <t>√</t>
        </is>
      </c>
      <c r="Z13" s="51" t="inlineStr">
        <is>
          <t>√</t>
        </is>
      </c>
      <c r="AA13" s="51" t="inlineStr">
        <is>
          <t>√</t>
        </is>
      </c>
      <c r="AB13" s="51" t="n"/>
      <c r="AC13" s="51" t="n"/>
      <c r="AD13" s="51" t="inlineStr">
        <is>
          <t>√</t>
        </is>
      </c>
      <c r="AE13" s="51" t="inlineStr">
        <is>
          <t>√</t>
        </is>
      </c>
      <c r="AF13" s="51" t="inlineStr">
        <is>
          <t>√</t>
        </is>
      </c>
      <c r="AG13" s="51" t="inlineStr">
        <is>
          <t>√</t>
        </is>
      </c>
      <c r="AH13" s="51" t="inlineStr">
        <is>
          <t>√</t>
        </is>
      </c>
      <c r="AI13" s="42" t="n"/>
      <c r="AJ13" s="50" t="n"/>
      <c r="AK13" s="15">
        <f>COUNTIF(E13:AI13,"√")</f>
        <v/>
      </c>
      <c r="AL13" s="15">
        <f>COUNTIF(E13:AI13,"●")</f>
        <v/>
      </c>
      <c r="AM13" s="15">
        <f>COUNTIF(E13:AI13,"◎")</f>
        <v/>
      </c>
      <c r="AN13" s="15">
        <f>COUNTIF(E13:AI13,"○")</f>
        <v/>
      </c>
      <c r="AO13" s="15">
        <f>COUNTIF(E13:AI13,"☆")</f>
        <v/>
      </c>
      <c r="AP13" s="15">
        <f>COUNTIF(E13:AI13,"※")</f>
        <v/>
      </c>
      <c r="AQ13" s="15">
        <f>COUNTIF(E13:AI13,"◇")</f>
        <v/>
      </c>
      <c r="AR13" s="15">
        <f>COUNTIF(E13:AI13,"×")</f>
        <v/>
      </c>
      <c r="AS13" s="15">
        <f>COUNTIF(E13:AI13,"△")</f>
        <v/>
      </c>
      <c r="AT13" s="15">
        <f>COUNTIF(E13:AI13,"÷")</f>
        <v/>
      </c>
      <c r="AU13" s="15">
        <f>COUNTIF(E13:AI13,"＃")</f>
        <v/>
      </c>
      <c r="AV13" s="15">
        <f>COUNTIF(E13:AI13,"¤")</f>
        <v/>
      </c>
      <c r="AW13" s="15">
        <f>COUNTIF(E13:AI13,"Ω")</f>
        <v/>
      </c>
      <c r="AX13" s="15">
        <f>COUNTIF(E13:AI13,"▽")</f>
        <v/>
      </c>
      <c r="AY13" s="15">
        <f>COUNTIF(E13:AI13,"👶")</f>
        <v/>
      </c>
    </row>
    <row r="14" ht="30" customHeight="1" s="45">
      <c r="A14" s="43" t="inlineStr">
        <is>
          <t>员工E</t>
        </is>
      </c>
      <c r="B14" s="11" t="n"/>
      <c r="C14" s="34" t="inlineStr">
        <is>
          <t>上午</t>
        </is>
      </c>
      <c r="D14" s="34" t="n"/>
      <c r="E14" s="51" t="n"/>
      <c r="F14" s="51" t="n"/>
      <c r="G14" s="51" t="n"/>
      <c r="H14" s="51" t="n"/>
      <c r="I14" s="51" t="inlineStr">
        <is>
          <t>√</t>
        </is>
      </c>
      <c r="J14" s="51" t="inlineStr">
        <is>
          <t>√</t>
        </is>
      </c>
      <c r="K14" s="51" t="inlineStr">
        <is>
          <t>√</t>
        </is>
      </c>
      <c r="L14" s="51" t="inlineStr">
        <is>
          <t>√</t>
        </is>
      </c>
      <c r="M14" s="51" t="inlineStr">
        <is>
          <t>√</t>
        </is>
      </c>
      <c r="N14" s="51" t="n"/>
      <c r="O14" s="51" t="n"/>
      <c r="P14" s="51" t="inlineStr">
        <is>
          <t>√</t>
        </is>
      </c>
      <c r="Q14" s="51" t="inlineStr">
        <is>
          <t>√</t>
        </is>
      </c>
      <c r="R14" s="51" t="inlineStr">
        <is>
          <t>√</t>
        </is>
      </c>
      <c r="S14" s="51" t="inlineStr">
        <is>
          <t>√</t>
        </is>
      </c>
      <c r="T14" s="51" t="inlineStr">
        <is>
          <t>√</t>
        </is>
      </c>
      <c r="U14" s="51" t="n"/>
      <c r="V14" s="51" t="n"/>
      <c r="W14" s="51" t="inlineStr">
        <is>
          <t>√</t>
        </is>
      </c>
      <c r="X14" s="51" t="inlineStr">
        <is>
          <t>√</t>
        </is>
      </c>
      <c r="Y14" s="51" t="inlineStr">
        <is>
          <t>√</t>
        </is>
      </c>
      <c r="Z14" s="51" t="inlineStr">
        <is>
          <t>√</t>
        </is>
      </c>
      <c r="AA14" s="51" t="inlineStr">
        <is>
          <t>√</t>
        </is>
      </c>
      <c r="AB14" s="51" t="n"/>
      <c r="AC14" s="51" t="n"/>
      <c r="AD14" s="51" t="inlineStr">
        <is>
          <t>√</t>
        </is>
      </c>
      <c r="AE14" s="51" t="inlineStr">
        <is>
          <t>√</t>
        </is>
      </c>
      <c r="AF14" s="51" t="inlineStr">
        <is>
          <t>√</t>
        </is>
      </c>
      <c r="AG14" s="51" t="inlineStr">
        <is>
          <t>√</t>
        </is>
      </c>
      <c r="AH14" s="51" t="inlineStr">
        <is>
          <t>√</t>
        </is>
      </c>
      <c r="AI14" s="42" t="n"/>
      <c r="AJ14" s="44" t="inlineStr">
        <is>
          <t xml:space="preserve">0.5天调休
0.5天事假
0.5天年假
</t>
        </is>
      </c>
      <c r="AK14" s="15">
        <f>COUNTIF(E14:AI14,"√")</f>
        <v/>
      </c>
      <c r="AL14" s="15">
        <f>COUNTIF(E14:AI14,"●")</f>
        <v/>
      </c>
      <c r="AM14" s="15">
        <f>COUNTIF(E14:AI14,"◎")</f>
        <v/>
      </c>
      <c r="AN14" s="15">
        <f>COUNTIF(E14:AI14,"○")</f>
        <v/>
      </c>
      <c r="AO14" s="15">
        <f>COUNTIF(E14:AI14,"☆")</f>
        <v/>
      </c>
      <c r="AP14" s="15">
        <f>COUNTIF(E14:AI14,"※")</f>
        <v/>
      </c>
      <c r="AQ14" s="15">
        <f>COUNTIF(E14:AI14,"◇")</f>
        <v/>
      </c>
      <c r="AR14" s="15">
        <f>COUNTIF(E14:AI14,"×")</f>
        <v/>
      </c>
      <c r="AS14" s="15">
        <f>COUNTIF(E14:AI14,"△")</f>
        <v/>
      </c>
      <c r="AT14" s="15">
        <f>COUNTIF(E14:AI14,"÷")</f>
        <v/>
      </c>
      <c r="AU14" s="15">
        <f>COUNTIF(E14:AI14,"＃")</f>
        <v/>
      </c>
      <c r="AV14" s="15">
        <f>COUNTIF(E14:AI14,"¤")</f>
        <v/>
      </c>
      <c r="AW14" s="15">
        <f>COUNTIF(E14:AI14,"Ω")</f>
        <v/>
      </c>
      <c r="AX14" s="15">
        <f>COUNTIF(E14:AI14,"▽")</f>
        <v/>
      </c>
      <c r="AY14" s="15">
        <f>COUNTIF(E14:AI14,"＋")</f>
        <v/>
      </c>
    </row>
    <row r="15" ht="30" customHeight="1" s="45">
      <c r="A15" s="50" t="n"/>
      <c r="B15" s="50" t="n"/>
      <c r="C15" s="34" t="inlineStr">
        <is>
          <t>下午</t>
        </is>
      </c>
      <c r="D15" s="34" t="n"/>
      <c r="E15" s="51" t="n"/>
      <c r="F15" s="51" t="n"/>
      <c r="G15" s="51" t="n"/>
      <c r="H15" s="51" t="n"/>
      <c r="I15" s="51" t="inlineStr">
        <is>
          <t>√</t>
        </is>
      </c>
      <c r="J15" s="51" t="inlineStr">
        <is>
          <t>√</t>
        </is>
      </c>
      <c r="K15" s="51" t="inlineStr">
        <is>
          <t>√</t>
        </is>
      </c>
      <c r="L15" s="51" t="inlineStr">
        <is>
          <t>√</t>
        </is>
      </c>
      <c r="M15" s="51" t="inlineStr">
        <is>
          <t>√</t>
        </is>
      </c>
      <c r="N15" s="51" t="n"/>
      <c r="O15" s="51" t="n"/>
      <c r="P15" s="51" t="inlineStr">
        <is>
          <t>√</t>
        </is>
      </c>
      <c r="Q15" s="51" t="inlineStr">
        <is>
          <t>√</t>
        </is>
      </c>
      <c r="R15" s="51" t="inlineStr">
        <is>
          <t>＃</t>
        </is>
      </c>
      <c r="S15" s="51" t="inlineStr">
        <is>
          <t>○</t>
        </is>
      </c>
      <c r="T15" s="51" t="inlineStr">
        <is>
          <t>√</t>
        </is>
      </c>
      <c r="U15" s="51" t="n"/>
      <c r="V15" s="51" t="n"/>
      <c r="W15" s="51" t="inlineStr">
        <is>
          <t>√</t>
        </is>
      </c>
      <c r="X15" s="51" t="inlineStr">
        <is>
          <t>√</t>
        </is>
      </c>
      <c r="Y15" s="51" t="inlineStr">
        <is>
          <t>√</t>
        </is>
      </c>
      <c r="Z15" s="51" t="inlineStr">
        <is>
          <t>√</t>
        </is>
      </c>
      <c r="AA15" s="51" t="inlineStr">
        <is>
          <t>÷</t>
        </is>
      </c>
      <c r="AB15" s="51" t="n"/>
      <c r="AC15" s="51" t="n"/>
      <c r="AD15" s="51" t="inlineStr">
        <is>
          <t>√</t>
        </is>
      </c>
      <c r="AE15" s="51" t="inlineStr">
        <is>
          <t>√</t>
        </is>
      </c>
      <c r="AF15" s="51" t="inlineStr">
        <is>
          <t>√</t>
        </is>
      </c>
      <c r="AG15" s="51" t="inlineStr">
        <is>
          <t>√</t>
        </is>
      </c>
      <c r="AH15" s="51" t="inlineStr">
        <is>
          <t>√</t>
        </is>
      </c>
      <c r="AI15" s="42" t="n"/>
      <c r="AJ15" s="50" t="n"/>
      <c r="AK15" s="15">
        <f>COUNTIF(E15:AI15,"√")</f>
        <v/>
      </c>
      <c r="AL15" s="15">
        <f>COUNTIF(E15:AI15,"●")</f>
        <v/>
      </c>
      <c r="AM15" s="15">
        <f>COUNTIF(E15:AI15,"◎")</f>
        <v/>
      </c>
      <c r="AN15" s="15">
        <f>COUNTIF(E15:AI15,"○")</f>
        <v/>
      </c>
      <c r="AO15" s="15">
        <f>COUNTIF(E15:AI15,"☆")</f>
        <v/>
      </c>
      <c r="AP15" s="15">
        <f>COUNTIF(E15:AI15,"※")</f>
        <v/>
      </c>
      <c r="AQ15" s="15">
        <f>COUNTIF(E15:AI15,"◇")</f>
        <v/>
      </c>
      <c r="AR15" s="15">
        <f>COUNTIF(E15:AI15,"×")</f>
        <v/>
      </c>
      <c r="AS15" s="15">
        <f>COUNTIF(E15:AI15,"△")</f>
        <v/>
      </c>
      <c r="AT15" s="15">
        <f>COUNTIF(E15:AI15,"÷")</f>
        <v/>
      </c>
      <c r="AU15" s="15">
        <f>COUNTIF(E15:AI15,"＃")</f>
        <v/>
      </c>
      <c r="AV15" s="15">
        <f>COUNTIF(E15:AI15,"¤")</f>
        <v/>
      </c>
      <c r="AW15" s="15">
        <f>COUNTIF(E15:AI15,"Ω")</f>
        <v/>
      </c>
      <c r="AX15" s="15">
        <f>COUNTIF(E15:AI15,"▽")</f>
        <v/>
      </c>
      <c r="AY15" s="15">
        <f>COUNTIF(E15:AI15,"＋")</f>
        <v/>
      </c>
    </row>
    <row r="16" ht="30" customHeight="1" s="45">
      <c r="A16" s="43" t="inlineStr">
        <is>
          <t>员工F</t>
        </is>
      </c>
      <c r="B16" s="11" t="n"/>
      <c r="C16" s="34" t="inlineStr">
        <is>
          <t>上午</t>
        </is>
      </c>
      <c r="D16" s="43" t="n"/>
      <c r="E16" s="42" t="n"/>
      <c r="F16" s="42" t="n"/>
      <c r="G16" s="42" t="n"/>
      <c r="H16" s="42" t="n"/>
      <c r="I16" s="51" t="inlineStr">
        <is>
          <t>√</t>
        </is>
      </c>
      <c r="J16" s="51" t="inlineStr">
        <is>
          <t>√</t>
        </is>
      </c>
      <c r="K16" s="51" t="inlineStr">
        <is>
          <t>√</t>
        </is>
      </c>
      <c r="L16" s="51" t="inlineStr">
        <is>
          <t>√</t>
        </is>
      </c>
      <c r="M16" s="51" t="inlineStr">
        <is>
          <t>√</t>
        </is>
      </c>
      <c r="N16" s="42" t="n"/>
      <c r="O16" s="42" t="n"/>
      <c r="P16" s="51" t="inlineStr">
        <is>
          <t>√</t>
        </is>
      </c>
      <c r="Q16" s="51" t="inlineStr">
        <is>
          <t>√</t>
        </is>
      </c>
      <c r="R16" s="51" t="inlineStr">
        <is>
          <t>√</t>
        </is>
      </c>
      <c r="S16" s="51" t="inlineStr">
        <is>
          <t>√</t>
        </is>
      </c>
      <c r="T16" s="51" t="inlineStr">
        <is>
          <t>√</t>
        </is>
      </c>
      <c r="U16" s="42" t="n"/>
      <c r="V16" s="42" t="n"/>
      <c r="W16" s="51" t="inlineStr">
        <is>
          <t>√</t>
        </is>
      </c>
      <c r="X16" s="51" t="inlineStr">
        <is>
          <t>√</t>
        </is>
      </c>
      <c r="Y16" s="51" t="inlineStr">
        <is>
          <t>√</t>
        </is>
      </c>
      <c r="Z16" s="51" t="inlineStr">
        <is>
          <t>√</t>
        </is>
      </c>
      <c r="AA16" s="51" t="inlineStr">
        <is>
          <t>＃</t>
        </is>
      </c>
      <c r="AB16" s="42" t="n"/>
      <c r="AC16" s="42" t="n"/>
      <c r="AD16" s="51" t="inlineStr">
        <is>
          <t>√</t>
        </is>
      </c>
      <c r="AE16" s="51" t="inlineStr">
        <is>
          <t>√</t>
        </is>
      </c>
      <c r="AF16" s="51" t="inlineStr">
        <is>
          <t>√</t>
        </is>
      </c>
      <c r="AG16" s="51" t="inlineStr">
        <is>
          <t>√</t>
        </is>
      </c>
      <c r="AH16" s="51" t="inlineStr">
        <is>
          <t>√</t>
        </is>
      </c>
      <c r="AI16" s="42" t="n"/>
      <c r="AJ16" s="44" t="inlineStr">
        <is>
          <t>1.5天调休</t>
        </is>
      </c>
      <c r="AK16" s="15">
        <f>COUNTIF(E16:AI16,"√")</f>
        <v/>
      </c>
      <c r="AL16" s="15">
        <f>COUNTIF(E16:AI16,"●")</f>
        <v/>
      </c>
      <c r="AM16" s="15">
        <f>COUNTIF(E16:AI16,"◎")</f>
        <v/>
      </c>
      <c r="AN16" s="15">
        <f>COUNTIF(E16:AI16,"○")</f>
        <v/>
      </c>
      <c r="AO16" s="15">
        <f>COUNTIF(E16:AI16,"☆")</f>
        <v/>
      </c>
      <c r="AP16" s="15">
        <f>COUNTIF(E16:AI16,"※")</f>
        <v/>
      </c>
      <c r="AQ16" s="15">
        <f>COUNTIF(E16:AI16,"◇")</f>
        <v/>
      </c>
      <c r="AR16" s="15">
        <f>COUNTIF(E16:AI16,"×")</f>
        <v/>
      </c>
      <c r="AS16" s="15">
        <f>COUNTIF(E16:AI16,"△")</f>
        <v/>
      </c>
      <c r="AT16" s="15">
        <f>COUNTIF(E16:AI16,"÷")</f>
        <v/>
      </c>
      <c r="AU16" s="15">
        <f>COUNTIF(E16:AI16,"＃")</f>
        <v/>
      </c>
      <c r="AV16" s="15">
        <f>COUNTIF(E16:AI16,"¤")</f>
        <v/>
      </c>
      <c r="AW16" s="15">
        <f>COUNTIF(E16:AI16,"Ω")</f>
        <v/>
      </c>
      <c r="AX16" s="15">
        <f>COUNTIF(E16:AI16,"▽")</f>
        <v/>
      </c>
      <c r="AY16" s="15">
        <f>COUNTIF(E16:AI16,"👶")</f>
        <v/>
      </c>
    </row>
    <row r="17" ht="30" customHeight="1" s="45">
      <c r="A17" s="50" t="n"/>
      <c r="B17" s="50" t="n"/>
      <c r="C17" s="34" t="inlineStr">
        <is>
          <t>下午</t>
        </is>
      </c>
      <c r="D17" s="50" t="n"/>
      <c r="E17" s="42" t="n"/>
      <c r="F17" s="42" t="n"/>
      <c r="G17" s="42" t="n"/>
      <c r="H17" s="42" t="n"/>
      <c r="I17" s="51" t="inlineStr">
        <is>
          <t>√</t>
        </is>
      </c>
      <c r="J17" s="51" t="inlineStr">
        <is>
          <t>√</t>
        </is>
      </c>
      <c r="K17" s="51" t="inlineStr">
        <is>
          <t>√</t>
        </is>
      </c>
      <c r="L17" s="51" t="inlineStr">
        <is>
          <t>√</t>
        </is>
      </c>
      <c r="M17" s="51" t="inlineStr">
        <is>
          <t>√</t>
        </is>
      </c>
      <c r="N17" s="42" t="n"/>
      <c r="O17" s="42" t="n"/>
      <c r="P17" s="51" t="inlineStr">
        <is>
          <t>√</t>
        </is>
      </c>
      <c r="Q17" s="51" t="inlineStr">
        <is>
          <t>√</t>
        </is>
      </c>
      <c r="R17" s="51" t="inlineStr">
        <is>
          <t>√</t>
        </is>
      </c>
      <c r="S17" s="51" t="inlineStr">
        <is>
          <t>√</t>
        </is>
      </c>
      <c r="T17" s="51" t="inlineStr">
        <is>
          <t>√</t>
        </is>
      </c>
      <c r="U17" s="42" t="n"/>
      <c r="V17" s="42" t="n"/>
      <c r="W17" s="51" t="inlineStr">
        <is>
          <t>√</t>
        </is>
      </c>
      <c r="X17" s="51" t="inlineStr">
        <is>
          <t>√</t>
        </is>
      </c>
      <c r="Y17" s="51" t="inlineStr">
        <is>
          <t>√</t>
        </is>
      </c>
      <c r="Z17" s="51" t="inlineStr">
        <is>
          <t>√</t>
        </is>
      </c>
      <c r="AA17" s="51" t="inlineStr">
        <is>
          <t>＃</t>
        </is>
      </c>
      <c r="AB17" s="42" t="n"/>
      <c r="AC17" s="42" t="n"/>
      <c r="AD17" s="51" t="inlineStr">
        <is>
          <t>√</t>
        </is>
      </c>
      <c r="AE17" s="51" t="inlineStr">
        <is>
          <t>√</t>
        </is>
      </c>
      <c r="AF17" s="51" t="inlineStr">
        <is>
          <t>√</t>
        </is>
      </c>
      <c r="AG17" s="51" t="inlineStr">
        <is>
          <t>√</t>
        </is>
      </c>
      <c r="AH17" s="51" t="inlineStr">
        <is>
          <t>＃</t>
        </is>
      </c>
      <c r="AI17" s="42" t="n"/>
      <c r="AJ17" s="50" t="n"/>
      <c r="AK17" s="15">
        <f>COUNTIF(E17:AI17,"√")</f>
        <v/>
      </c>
      <c r="AL17" s="15">
        <f>COUNTIF(E17:AI17,"●")</f>
        <v/>
      </c>
      <c r="AM17" s="15">
        <f>COUNTIF(E17:AI17,"◎")</f>
        <v/>
      </c>
      <c r="AN17" s="15">
        <f>COUNTIF(E17:AI17,"○")</f>
        <v/>
      </c>
      <c r="AO17" s="15">
        <f>COUNTIF(E17:AI17,"☆")</f>
        <v/>
      </c>
      <c r="AP17" s="15">
        <f>COUNTIF(E17:AI17,"※")</f>
        <v/>
      </c>
      <c r="AQ17" s="15">
        <f>COUNTIF(E17:AI17,"◇")</f>
        <v/>
      </c>
      <c r="AR17" s="15">
        <f>COUNTIF(E17:AI17,"×")</f>
        <v/>
      </c>
      <c r="AS17" s="15">
        <f>COUNTIF(E17:AI17,"△")</f>
        <v/>
      </c>
      <c r="AT17" s="15">
        <f>COUNTIF(E17:AI17,"÷")</f>
        <v/>
      </c>
      <c r="AU17" s="15">
        <f>COUNTIF(E17:AI17,"＃")</f>
        <v/>
      </c>
      <c r="AV17" s="15">
        <f>COUNTIF(E17:AI17,"¤")</f>
        <v/>
      </c>
      <c r="AW17" s="15">
        <f>COUNTIF(E17:AI17,"Ω")</f>
        <v/>
      </c>
      <c r="AX17" s="15">
        <f>COUNTIF(E17:AI17,"▽")</f>
        <v/>
      </c>
      <c r="AY17" s="15">
        <f>COUNTIF(E17:AI17,"👶")</f>
        <v/>
      </c>
    </row>
    <row r="18" ht="30" customHeight="1" s="45">
      <c r="A18" s="43" t="inlineStr">
        <is>
          <t>员工G</t>
        </is>
      </c>
      <c r="B18" s="11" t="n"/>
      <c r="C18" s="34" t="inlineStr">
        <is>
          <t>上午</t>
        </is>
      </c>
      <c r="D18" s="43" t="n"/>
      <c r="E18" s="42" t="n"/>
      <c r="F18" s="42" t="n"/>
      <c r="G18" s="42" t="n"/>
      <c r="H18" s="42" t="n"/>
      <c r="I18" s="42" t="inlineStr">
        <is>
          <t>○</t>
        </is>
      </c>
      <c r="J18" s="51" t="inlineStr">
        <is>
          <t>√</t>
        </is>
      </c>
      <c r="K18" s="51" t="inlineStr">
        <is>
          <t>√</t>
        </is>
      </c>
      <c r="L18" s="51" t="inlineStr">
        <is>
          <t>√</t>
        </is>
      </c>
      <c r="M18" s="51" t="inlineStr">
        <is>
          <t>√</t>
        </is>
      </c>
      <c r="N18" s="42" t="n"/>
      <c r="O18" s="42" t="n"/>
      <c r="P18" s="51" t="inlineStr">
        <is>
          <t>√</t>
        </is>
      </c>
      <c r="Q18" s="51" t="inlineStr">
        <is>
          <t>√</t>
        </is>
      </c>
      <c r="R18" s="51" t="inlineStr">
        <is>
          <t>√</t>
        </is>
      </c>
      <c r="S18" s="51" t="inlineStr">
        <is>
          <t>√</t>
        </is>
      </c>
      <c r="T18" s="51" t="inlineStr">
        <is>
          <t>√</t>
        </is>
      </c>
      <c r="U18" s="42" t="n"/>
      <c r="V18" s="42" t="n"/>
      <c r="W18" s="51" t="inlineStr">
        <is>
          <t>√</t>
        </is>
      </c>
      <c r="X18" s="51" t="inlineStr">
        <is>
          <t>√</t>
        </is>
      </c>
      <c r="Y18" s="51" t="inlineStr">
        <is>
          <t>√</t>
        </is>
      </c>
      <c r="Z18" s="51" t="inlineStr">
        <is>
          <t>√</t>
        </is>
      </c>
      <c r="AA18" s="51" t="inlineStr">
        <is>
          <t>√</t>
        </is>
      </c>
      <c r="AB18" s="42" t="n"/>
      <c r="AC18" s="42" t="n"/>
      <c r="AD18" s="51" t="inlineStr">
        <is>
          <t>○</t>
        </is>
      </c>
      <c r="AE18" s="51" t="inlineStr">
        <is>
          <t>√</t>
        </is>
      </c>
      <c r="AF18" s="51" t="inlineStr">
        <is>
          <t>√</t>
        </is>
      </c>
      <c r="AG18" s="51" t="inlineStr">
        <is>
          <t>√</t>
        </is>
      </c>
      <c r="AH18" s="51" t="inlineStr">
        <is>
          <t>÷</t>
        </is>
      </c>
      <c r="AI18" s="42" t="n"/>
      <c r="AJ18" s="44" t="inlineStr">
        <is>
          <t>2天事假
1天年休</t>
        </is>
      </c>
      <c r="AK18" s="15">
        <f>COUNTIF(E18:AI18,"√")</f>
        <v/>
      </c>
      <c r="AL18" s="15">
        <f>COUNTIF(E18:AI18,"●")</f>
        <v/>
      </c>
      <c r="AM18" s="15">
        <f>COUNTIF(E18:AI18,"◎")</f>
        <v/>
      </c>
      <c r="AN18" s="15">
        <f>COUNTIF(E18:AI18,"○")</f>
        <v/>
      </c>
      <c r="AO18" s="15">
        <f>COUNTIF(E18:AI18,"☆")</f>
        <v/>
      </c>
      <c r="AP18" s="15">
        <f>COUNTIF(E18:AI18,"※")</f>
        <v/>
      </c>
      <c r="AQ18" s="15">
        <f>COUNTIF(E18:AI18,"◇")</f>
        <v/>
      </c>
      <c r="AR18" s="15">
        <f>COUNTIF(E18:AI18,"×")</f>
        <v/>
      </c>
      <c r="AS18" s="15">
        <f>COUNTIF(E18:AI18,"△")</f>
        <v/>
      </c>
      <c r="AT18" s="15">
        <f>COUNTIF(E18:AI18,"÷")</f>
        <v/>
      </c>
      <c r="AU18" s="15">
        <f>COUNTIF(E18:AI18,"＃")</f>
        <v/>
      </c>
      <c r="AV18" s="15">
        <f>COUNTIF(E18:AI18,"¤")</f>
        <v/>
      </c>
      <c r="AW18" s="15">
        <f>COUNTIF(E18:AI18,"Ω")</f>
        <v/>
      </c>
      <c r="AX18" s="15">
        <f>COUNTIF(E18:AI18,"▽")</f>
        <v/>
      </c>
      <c r="AY18" s="15">
        <f>COUNTIF(E18:AI18,"👶")</f>
        <v/>
      </c>
    </row>
    <row r="19" ht="30" customHeight="1" s="45">
      <c r="A19" s="50" t="n"/>
      <c r="B19" s="50" t="n"/>
      <c r="C19" s="34" t="inlineStr">
        <is>
          <t>下午</t>
        </is>
      </c>
      <c r="D19" s="50" t="n"/>
      <c r="E19" s="42" t="n"/>
      <c r="F19" s="42" t="n"/>
      <c r="G19" s="42" t="n"/>
      <c r="H19" s="42" t="n"/>
      <c r="I19" s="42" t="inlineStr">
        <is>
          <t>○</t>
        </is>
      </c>
      <c r="J19" s="51" t="inlineStr">
        <is>
          <t>√</t>
        </is>
      </c>
      <c r="K19" s="51" t="inlineStr">
        <is>
          <t>√</t>
        </is>
      </c>
      <c r="L19" s="51" t="inlineStr">
        <is>
          <t>√</t>
        </is>
      </c>
      <c r="M19" s="51" t="inlineStr">
        <is>
          <t>√</t>
        </is>
      </c>
      <c r="N19" s="42" t="n"/>
      <c r="O19" s="42" t="n"/>
      <c r="P19" s="51" t="inlineStr">
        <is>
          <t>√</t>
        </is>
      </c>
      <c r="Q19" s="51" t="inlineStr">
        <is>
          <t>√</t>
        </is>
      </c>
      <c r="R19" s="51" t="inlineStr">
        <is>
          <t>√</t>
        </is>
      </c>
      <c r="S19" s="51" t="inlineStr">
        <is>
          <t>√</t>
        </is>
      </c>
      <c r="T19" s="51" t="inlineStr">
        <is>
          <t>√</t>
        </is>
      </c>
      <c r="U19" s="42" t="n"/>
      <c r="V19" s="42" t="n"/>
      <c r="W19" s="51" t="inlineStr">
        <is>
          <t>√</t>
        </is>
      </c>
      <c r="X19" s="51" t="inlineStr">
        <is>
          <t>√</t>
        </is>
      </c>
      <c r="Y19" s="51" t="inlineStr">
        <is>
          <t>√</t>
        </is>
      </c>
      <c r="Z19" s="51" t="inlineStr">
        <is>
          <t>√</t>
        </is>
      </c>
      <c r="AA19" s="51" t="inlineStr">
        <is>
          <t>√</t>
        </is>
      </c>
      <c r="AB19" s="42" t="n"/>
      <c r="AC19" s="42" t="n"/>
      <c r="AD19" s="51" t="inlineStr">
        <is>
          <t>○</t>
        </is>
      </c>
      <c r="AE19" s="51" t="inlineStr">
        <is>
          <t>√</t>
        </is>
      </c>
      <c r="AF19" s="51" t="inlineStr">
        <is>
          <t>√</t>
        </is>
      </c>
      <c r="AG19" s="51" t="inlineStr">
        <is>
          <t>√</t>
        </is>
      </c>
      <c r="AH19" s="51" t="inlineStr">
        <is>
          <t>÷</t>
        </is>
      </c>
      <c r="AI19" s="42" t="n"/>
      <c r="AJ19" s="50" t="n"/>
      <c r="AK19" s="15">
        <f>COUNTIF(E19:AI19,"√")</f>
        <v/>
      </c>
      <c r="AL19" s="15">
        <f>COUNTIF(E19:AI19,"●")</f>
        <v/>
      </c>
      <c r="AM19" s="15">
        <f>COUNTIF(E19:AI19,"◎")</f>
        <v/>
      </c>
      <c r="AN19" s="15">
        <f>COUNTIF(E19:AI19,"○")</f>
        <v/>
      </c>
      <c r="AO19" s="15">
        <f>COUNTIF(E19:AI19,"☆")</f>
        <v/>
      </c>
      <c r="AP19" s="15">
        <f>COUNTIF(E19:AI19,"※")</f>
        <v/>
      </c>
      <c r="AQ19" s="15">
        <f>COUNTIF(E19:AI19,"◇")</f>
        <v/>
      </c>
      <c r="AR19" s="15">
        <f>COUNTIF(E19:AI19,"×")</f>
        <v/>
      </c>
      <c r="AS19" s="15">
        <f>COUNTIF(E19:AI19,"△")</f>
        <v/>
      </c>
      <c r="AT19" s="15">
        <f>COUNTIF(E19:AI19,"÷")</f>
        <v/>
      </c>
      <c r="AU19" s="15">
        <f>COUNTIF(E19:AI19,"＃")</f>
        <v/>
      </c>
      <c r="AV19" s="15">
        <f>COUNTIF(E19:AI19,"¤")</f>
        <v/>
      </c>
      <c r="AW19" s="15">
        <f>COUNTIF(E19:AI19,"Ω")</f>
        <v/>
      </c>
      <c r="AX19" s="15">
        <f>COUNTIF(E19:AI19,"▽")</f>
        <v/>
      </c>
      <c r="AY19" s="15">
        <f>COUNTIF(E19:AI19,"👶")</f>
        <v/>
      </c>
    </row>
    <row r="20" ht="30" customHeight="1" s="45">
      <c r="A20" s="43" t="inlineStr">
        <is>
          <t>员工H</t>
        </is>
      </c>
      <c r="B20" s="11" t="n"/>
      <c r="C20" s="34" t="inlineStr">
        <is>
          <t>上午</t>
        </is>
      </c>
      <c r="D20" s="42" t="n"/>
      <c r="E20" s="42" t="n"/>
      <c r="F20" s="42" t="n"/>
      <c r="G20" s="42" t="n"/>
      <c r="H20" s="42" t="n"/>
      <c r="I20" s="51" t="inlineStr">
        <is>
          <t>√</t>
        </is>
      </c>
      <c r="J20" s="51" t="inlineStr">
        <is>
          <t>√</t>
        </is>
      </c>
      <c r="K20" s="51" t="inlineStr">
        <is>
          <t>√</t>
        </is>
      </c>
      <c r="L20" s="51" t="inlineStr">
        <is>
          <t>√</t>
        </is>
      </c>
      <c r="M20" s="51" t="inlineStr">
        <is>
          <t>√</t>
        </is>
      </c>
      <c r="N20" s="42" t="n"/>
      <c r="O20" s="42" t="n"/>
      <c r="P20" s="51" t="inlineStr">
        <is>
          <t>√</t>
        </is>
      </c>
      <c r="Q20" s="51" t="inlineStr">
        <is>
          <t>√</t>
        </is>
      </c>
      <c r="R20" s="51" t="inlineStr">
        <is>
          <t>√</t>
        </is>
      </c>
      <c r="S20" s="51" t="inlineStr">
        <is>
          <t>√</t>
        </is>
      </c>
      <c r="T20" s="51" t="inlineStr">
        <is>
          <t>√</t>
        </is>
      </c>
      <c r="U20" s="42" t="n"/>
      <c r="V20" s="42" t="n"/>
      <c r="W20" s="51" t="inlineStr">
        <is>
          <t>▽</t>
        </is>
      </c>
      <c r="X20" s="51" t="inlineStr">
        <is>
          <t>▽</t>
        </is>
      </c>
      <c r="Y20" s="51" t="inlineStr">
        <is>
          <t>▽</t>
        </is>
      </c>
      <c r="Z20" s="51" t="inlineStr">
        <is>
          <t>√</t>
        </is>
      </c>
      <c r="AA20" s="51" t="inlineStr">
        <is>
          <t>√</t>
        </is>
      </c>
      <c r="AB20" s="42" t="n"/>
      <c r="AC20" s="42" t="n"/>
      <c r="AD20" s="51" t="inlineStr">
        <is>
          <t>√</t>
        </is>
      </c>
      <c r="AE20" s="51" t="inlineStr">
        <is>
          <t>√</t>
        </is>
      </c>
      <c r="AF20" s="51" t="inlineStr">
        <is>
          <t>√</t>
        </is>
      </c>
      <c r="AG20" s="51" t="inlineStr">
        <is>
          <t>√</t>
        </is>
      </c>
      <c r="AH20" s="51" t="inlineStr">
        <is>
          <t>√</t>
        </is>
      </c>
      <c r="AI20" s="42" t="n"/>
      <c r="AJ20" s="44" t="inlineStr">
        <is>
          <t>3天丧假</t>
        </is>
      </c>
      <c r="AK20" s="15">
        <f>COUNTIF(E20:AI20,"√")</f>
        <v/>
      </c>
      <c r="AL20" s="15">
        <f>COUNTIF(E20:AI20,"●")</f>
        <v/>
      </c>
      <c r="AM20" s="15">
        <f>COUNTIF(E20:AI20,"◎")</f>
        <v/>
      </c>
      <c r="AN20" s="15">
        <f>COUNTIF(E20:AI20,"○")</f>
        <v/>
      </c>
      <c r="AO20" s="15">
        <f>COUNTIF(E20:AI20,"☆")</f>
        <v/>
      </c>
      <c r="AP20" s="15">
        <f>COUNTIF(E20:AI20,"※")</f>
        <v/>
      </c>
      <c r="AQ20" s="15">
        <f>COUNTIF(E20:AI20,"◇")</f>
        <v/>
      </c>
      <c r="AR20" s="15">
        <f>COUNTIF(E20:AI20,"×")</f>
        <v/>
      </c>
      <c r="AS20" s="15">
        <f>COUNTIF(E20:AI20,"△")</f>
        <v/>
      </c>
      <c r="AT20" s="15">
        <f>COUNTIF(E20:AI20,"÷")</f>
        <v/>
      </c>
      <c r="AU20" s="15">
        <f>COUNTIF(E20:AI20,"＃")</f>
        <v/>
      </c>
      <c r="AV20" s="15">
        <f>COUNTIF(E20:AI20,"¤")</f>
        <v/>
      </c>
      <c r="AW20" s="15">
        <f>COUNTIF(E20:AI20,"Ω")</f>
        <v/>
      </c>
      <c r="AX20" s="15">
        <f>COUNTIF(E20:AI20,"▽")</f>
        <v/>
      </c>
      <c r="AY20" s="15">
        <f>COUNTIF(E20:AI20,"👶")</f>
        <v/>
      </c>
    </row>
    <row r="21" ht="30" customHeight="1" s="45">
      <c r="A21" s="50" t="n"/>
      <c r="B21" s="50" t="n"/>
      <c r="C21" s="34" t="inlineStr">
        <is>
          <t>下午</t>
        </is>
      </c>
      <c r="D21" s="51" t="n"/>
      <c r="E21" s="42" t="n"/>
      <c r="F21" s="42" t="n"/>
      <c r="G21" s="42" t="n"/>
      <c r="H21" s="42" t="n"/>
      <c r="I21" s="51" t="inlineStr">
        <is>
          <t>√</t>
        </is>
      </c>
      <c r="J21" s="51" t="inlineStr">
        <is>
          <t>√</t>
        </is>
      </c>
      <c r="K21" s="51" t="inlineStr">
        <is>
          <t>√</t>
        </is>
      </c>
      <c r="L21" s="51" t="inlineStr">
        <is>
          <t>√</t>
        </is>
      </c>
      <c r="M21" s="51" t="inlineStr">
        <is>
          <t>√</t>
        </is>
      </c>
      <c r="N21" s="42" t="n"/>
      <c r="O21" s="42" t="n"/>
      <c r="P21" s="51" t="inlineStr">
        <is>
          <t>√</t>
        </is>
      </c>
      <c r="Q21" s="51" t="inlineStr">
        <is>
          <t>√</t>
        </is>
      </c>
      <c r="R21" s="51" t="inlineStr">
        <is>
          <t>√</t>
        </is>
      </c>
      <c r="S21" s="51" t="inlineStr">
        <is>
          <t>√</t>
        </is>
      </c>
      <c r="T21" s="51" t="inlineStr">
        <is>
          <t>√</t>
        </is>
      </c>
      <c r="U21" s="42" t="n"/>
      <c r="V21" s="42" t="n"/>
      <c r="W21" s="51" t="inlineStr">
        <is>
          <t>▽</t>
        </is>
      </c>
      <c r="X21" s="51" t="inlineStr">
        <is>
          <t>▽</t>
        </is>
      </c>
      <c r="Y21" s="51" t="inlineStr">
        <is>
          <t>▽</t>
        </is>
      </c>
      <c r="Z21" s="51" t="inlineStr">
        <is>
          <t>√</t>
        </is>
      </c>
      <c r="AA21" s="51" t="inlineStr">
        <is>
          <t>√</t>
        </is>
      </c>
      <c r="AB21" s="42" t="n"/>
      <c r="AC21" s="42" t="n"/>
      <c r="AD21" s="51" t="inlineStr">
        <is>
          <t>√</t>
        </is>
      </c>
      <c r="AE21" s="51" t="inlineStr">
        <is>
          <t>√</t>
        </is>
      </c>
      <c r="AF21" s="51" t="inlineStr">
        <is>
          <t>√</t>
        </is>
      </c>
      <c r="AG21" s="51" t="inlineStr">
        <is>
          <t>√</t>
        </is>
      </c>
      <c r="AH21" s="51" t="inlineStr">
        <is>
          <t>√</t>
        </is>
      </c>
      <c r="AI21" s="42" t="n"/>
      <c r="AJ21" s="50" t="n"/>
      <c r="AK21" s="15">
        <f>COUNTIF(E21:AI21,"√")</f>
        <v/>
      </c>
      <c r="AL21" s="15">
        <f>COUNTIF(E21:AI21,"●")</f>
        <v/>
      </c>
      <c r="AM21" s="15">
        <f>COUNTIF(E21:AI21,"◎")</f>
        <v/>
      </c>
      <c r="AN21" s="15">
        <f>COUNTIF(E21:AI21,"○")</f>
        <v/>
      </c>
      <c r="AO21" s="15">
        <f>COUNTIF(E21:AI21,"☆")</f>
        <v/>
      </c>
      <c r="AP21" s="15">
        <f>COUNTIF(E21:AI21,"※")</f>
        <v/>
      </c>
      <c r="AQ21" s="15">
        <f>COUNTIF(E21:AI21,"◇")</f>
        <v/>
      </c>
      <c r="AR21" s="15">
        <f>COUNTIF(E21:AI21,"×")</f>
        <v/>
      </c>
      <c r="AS21" s="15">
        <f>COUNTIF(E21:AI21,"△")</f>
        <v/>
      </c>
      <c r="AT21" s="15">
        <f>COUNTIF(E21:AI21,"÷")</f>
        <v/>
      </c>
      <c r="AU21" s="15">
        <f>COUNTIF(E21:AI21,"＃")</f>
        <v/>
      </c>
      <c r="AV21" s="15">
        <f>COUNTIF(E21:AI21,"¤")</f>
        <v/>
      </c>
      <c r="AW21" s="15">
        <f>COUNTIF(E21:AI21,"Ω")</f>
        <v/>
      </c>
      <c r="AX21" s="15">
        <f>COUNTIF(E21:AI21,"▽")</f>
        <v/>
      </c>
      <c r="AY21" s="15">
        <f>COUNTIF(E21:AI21,"👶")</f>
        <v/>
      </c>
    </row>
    <row r="22" ht="30" customHeight="1" s="45">
      <c r="A22" s="43" t="inlineStr">
        <is>
          <t>员工I</t>
        </is>
      </c>
      <c r="B22" s="11" t="n"/>
      <c r="C22" s="34" t="inlineStr">
        <is>
          <t>上午</t>
        </is>
      </c>
      <c r="D22" s="43" t="n"/>
      <c r="E22" s="42" t="n"/>
      <c r="F22" s="42" t="n"/>
      <c r="G22" s="42" t="n"/>
      <c r="H22" s="42" t="n"/>
      <c r="I22" s="51" t="inlineStr">
        <is>
          <t>√</t>
        </is>
      </c>
      <c r="J22" s="51" t="inlineStr">
        <is>
          <t>√</t>
        </is>
      </c>
      <c r="K22" s="51" t="inlineStr">
        <is>
          <t>√</t>
        </is>
      </c>
      <c r="L22" s="51" t="inlineStr">
        <is>
          <t>√</t>
        </is>
      </c>
      <c r="M22" s="51" t="inlineStr">
        <is>
          <t>√</t>
        </is>
      </c>
      <c r="N22" s="42" t="n"/>
      <c r="O22" s="42" t="n"/>
      <c r="P22" s="51" t="inlineStr">
        <is>
          <t>√</t>
        </is>
      </c>
      <c r="Q22" s="51" t="inlineStr">
        <is>
          <t>√</t>
        </is>
      </c>
      <c r="R22" s="51" t="inlineStr">
        <is>
          <t>√</t>
        </is>
      </c>
      <c r="S22" s="51" t="inlineStr">
        <is>
          <t>√</t>
        </is>
      </c>
      <c r="T22" s="51" t="inlineStr">
        <is>
          <t>√</t>
        </is>
      </c>
      <c r="U22" s="42" t="n"/>
      <c r="V22" s="42" t="n"/>
      <c r="W22" s="51" t="inlineStr">
        <is>
          <t>√</t>
        </is>
      </c>
      <c r="X22" s="51" t="inlineStr">
        <is>
          <t>√</t>
        </is>
      </c>
      <c r="Y22" s="51" t="inlineStr">
        <is>
          <t>√</t>
        </is>
      </c>
      <c r="Z22" s="51" t="inlineStr">
        <is>
          <t>√</t>
        </is>
      </c>
      <c r="AA22" s="51" t="inlineStr">
        <is>
          <t>√</t>
        </is>
      </c>
      <c r="AB22" s="42" t="n"/>
      <c r="AC22" s="42" t="n"/>
      <c r="AD22" s="51" t="inlineStr">
        <is>
          <t>√</t>
        </is>
      </c>
      <c r="AE22" s="51" t="inlineStr">
        <is>
          <t>√</t>
        </is>
      </c>
      <c r="AF22" s="51" t="inlineStr">
        <is>
          <t>√</t>
        </is>
      </c>
      <c r="AG22" s="51" t="inlineStr">
        <is>
          <t>√</t>
        </is>
      </c>
      <c r="AH22" s="51" t="inlineStr">
        <is>
          <t>√</t>
        </is>
      </c>
      <c r="AI22" s="42" t="n"/>
      <c r="AJ22" s="44" t="n"/>
      <c r="AK22" s="15">
        <f>COUNTIF(E22:AI22,"√")</f>
        <v/>
      </c>
      <c r="AL22" s="15">
        <f>COUNTIF(E22:AI22,"●")</f>
        <v/>
      </c>
      <c r="AM22" s="15">
        <f>COUNTIF(E22:AI22,"◎")</f>
        <v/>
      </c>
      <c r="AN22" s="15">
        <f>COUNTIF(E22:AI22,"○")</f>
        <v/>
      </c>
      <c r="AO22" s="15">
        <f>COUNTIF(E22:AI22,"☆")</f>
        <v/>
      </c>
      <c r="AP22" s="15">
        <f>COUNTIF(E22:AI22,"※")</f>
        <v/>
      </c>
      <c r="AQ22" s="15">
        <f>COUNTIF(E22:AI22,"◇")</f>
        <v/>
      </c>
      <c r="AR22" s="15">
        <f>COUNTIF(E22:AI22,"×")</f>
        <v/>
      </c>
      <c r="AS22" s="15">
        <f>COUNTIF(E22:AI22,"△")</f>
        <v/>
      </c>
      <c r="AT22" s="15">
        <f>COUNTIF(E22:AI22,"÷")</f>
        <v/>
      </c>
      <c r="AU22" s="15">
        <f>COUNTIF(E22:AI22,"＃")</f>
        <v/>
      </c>
      <c r="AV22" s="15">
        <f>COUNTIF(E22:AI22,"¤")</f>
        <v/>
      </c>
      <c r="AW22" s="15">
        <f>COUNTIF(E22:AI22,"Ω")</f>
        <v/>
      </c>
      <c r="AX22" s="15">
        <f>COUNTIF(E22:AI22,"▽")</f>
        <v/>
      </c>
      <c r="AY22" s="15">
        <f>COUNTIF(E22:AI22,"👶")</f>
        <v/>
      </c>
    </row>
    <row r="23" ht="30" customHeight="1" s="45">
      <c r="A23" s="50" t="n"/>
      <c r="B23" s="50" t="n"/>
      <c r="C23" s="34" t="inlineStr">
        <is>
          <t>下午</t>
        </is>
      </c>
      <c r="D23" s="50" t="n"/>
      <c r="E23" s="42" t="n"/>
      <c r="F23" s="42" t="n"/>
      <c r="G23" s="42" t="n"/>
      <c r="H23" s="42" t="n"/>
      <c r="I23" s="51" t="inlineStr">
        <is>
          <t>√</t>
        </is>
      </c>
      <c r="J23" s="51" t="inlineStr">
        <is>
          <t>√</t>
        </is>
      </c>
      <c r="K23" s="51" t="inlineStr">
        <is>
          <t>√</t>
        </is>
      </c>
      <c r="L23" s="51" t="inlineStr">
        <is>
          <t>√</t>
        </is>
      </c>
      <c r="M23" s="51" t="inlineStr">
        <is>
          <t>√</t>
        </is>
      </c>
      <c r="N23" s="42" t="n"/>
      <c r="O23" s="42" t="n"/>
      <c r="P23" s="51" t="inlineStr">
        <is>
          <t>√</t>
        </is>
      </c>
      <c r="Q23" s="51" t="inlineStr">
        <is>
          <t>√</t>
        </is>
      </c>
      <c r="R23" s="51" t="inlineStr">
        <is>
          <t>√</t>
        </is>
      </c>
      <c r="S23" s="51" t="inlineStr">
        <is>
          <t>√</t>
        </is>
      </c>
      <c r="T23" s="51" t="inlineStr">
        <is>
          <t>√</t>
        </is>
      </c>
      <c r="U23" s="42" t="n"/>
      <c r="V23" s="42" t="n"/>
      <c r="W23" s="51" t="inlineStr">
        <is>
          <t>√</t>
        </is>
      </c>
      <c r="X23" s="51" t="inlineStr">
        <is>
          <t>√</t>
        </is>
      </c>
      <c r="Y23" s="51" t="inlineStr">
        <is>
          <t>√</t>
        </is>
      </c>
      <c r="Z23" s="51" t="inlineStr">
        <is>
          <t>√</t>
        </is>
      </c>
      <c r="AA23" s="51" t="inlineStr">
        <is>
          <t>√</t>
        </is>
      </c>
      <c r="AB23" s="42" t="n"/>
      <c r="AC23" s="42" t="n"/>
      <c r="AD23" s="51" t="inlineStr">
        <is>
          <t>√</t>
        </is>
      </c>
      <c r="AE23" s="51" t="inlineStr">
        <is>
          <t>√</t>
        </is>
      </c>
      <c r="AF23" s="51" t="inlineStr">
        <is>
          <t>√</t>
        </is>
      </c>
      <c r="AG23" s="51" t="inlineStr">
        <is>
          <t>√</t>
        </is>
      </c>
      <c r="AH23" s="51" t="inlineStr">
        <is>
          <t>√</t>
        </is>
      </c>
      <c r="AI23" s="42" t="n"/>
      <c r="AJ23" s="50" t="n"/>
      <c r="AK23" s="15">
        <f>COUNTIF(E23:AI23,"√")</f>
        <v/>
      </c>
      <c r="AL23" s="15">
        <f>COUNTIF(E23:AI23,"●")</f>
        <v/>
      </c>
      <c r="AM23" s="15">
        <f>COUNTIF(E23:AI23,"◎")</f>
        <v/>
      </c>
      <c r="AN23" s="15">
        <f>COUNTIF(E23:AI23,"○")</f>
        <v/>
      </c>
      <c r="AO23" s="15">
        <f>COUNTIF(E23:AI23,"☆")</f>
        <v/>
      </c>
      <c r="AP23" s="15">
        <f>COUNTIF(E23:AI23,"※")</f>
        <v/>
      </c>
      <c r="AQ23" s="15">
        <f>COUNTIF(E23:AI23,"◇")</f>
        <v/>
      </c>
      <c r="AR23" s="15">
        <f>COUNTIF(E23:AI23,"×")</f>
        <v/>
      </c>
      <c r="AS23" s="15">
        <f>COUNTIF(E23:AI23,"△")</f>
        <v/>
      </c>
      <c r="AT23" s="15">
        <f>COUNTIF(E23:AI23,"÷")</f>
        <v/>
      </c>
      <c r="AU23" s="15">
        <f>COUNTIF(E23:AI23,"＃")</f>
        <v/>
      </c>
      <c r="AV23" s="15">
        <f>COUNTIF(E23:AI23,"¤")</f>
        <v/>
      </c>
      <c r="AW23" s="15">
        <f>COUNTIF(E23:AI23,"Ω")</f>
        <v/>
      </c>
      <c r="AX23" s="15">
        <f>COUNTIF(E23:AI23,"▽")</f>
        <v/>
      </c>
      <c r="AY23" s="15">
        <f>COUNTIF(E23:AI23,"👶")</f>
        <v/>
      </c>
    </row>
    <row r="24" ht="30" customHeight="1" s="45">
      <c r="A24" s="43" t="inlineStr">
        <is>
          <t>员工J</t>
        </is>
      </c>
      <c r="B24" s="11" t="n"/>
      <c r="C24" s="34" t="inlineStr">
        <is>
          <t>上午</t>
        </is>
      </c>
      <c r="D24" s="43" t="n"/>
      <c r="E24" s="42" t="n"/>
      <c r="F24" s="42" t="n"/>
      <c r="G24" s="42" t="n"/>
      <c r="H24" s="42" t="n"/>
      <c r="I24" s="51" t="inlineStr">
        <is>
          <t>√</t>
        </is>
      </c>
      <c r="J24" s="51" t="inlineStr">
        <is>
          <t>√</t>
        </is>
      </c>
      <c r="K24" s="51" t="inlineStr">
        <is>
          <t>√</t>
        </is>
      </c>
      <c r="L24" s="51" t="inlineStr">
        <is>
          <t>√</t>
        </is>
      </c>
      <c r="M24" s="51" t="inlineStr">
        <is>
          <t>√</t>
        </is>
      </c>
      <c r="N24" s="42" t="n"/>
      <c r="O24" s="42" t="n"/>
      <c r="P24" s="51" t="inlineStr">
        <is>
          <t>√</t>
        </is>
      </c>
      <c r="Q24" s="51" t="inlineStr">
        <is>
          <t>√</t>
        </is>
      </c>
      <c r="R24" s="51" t="inlineStr">
        <is>
          <t>√</t>
        </is>
      </c>
      <c r="S24" s="51" t="inlineStr">
        <is>
          <t>√</t>
        </is>
      </c>
      <c r="T24" s="51" t="inlineStr">
        <is>
          <t>√</t>
        </is>
      </c>
      <c r="U24" s="42" t="n"/>
      <c r="V24" s="42" t="n"/>
      <c r="W24" s="51" t="inlineStr">
        <is>
          <t>√</t>
        </is>
      </c>
      <c r="X24" s="51" t="inlineStr">
        <is>
          <t>√</t>
        </is>
      </c>
      <c r="Y24" s="51" t="inlineStr">
        <is>
          <t>√</t>
        </is>
      </c>
      <c r="Z24" s="51" t="inlineStr">
        <is>
          <t>√</t>
        </is>
      </c>
      <c r="AA24" s="51" t="inlineStr">
        <is>
          <t>√</t>
        </is>
      </c>
      <c r="AB24" s="42" t="n"/>
      <c r="AC24" s="42" t="n"/>
      <c r="AD24" s="51" t="inlineStr">
        <is>
          <t>√</t>
        </is>
      </c>
      <c r="AE24" s="51" t="inlineStr">
        <is>
          <t>√</t>
        </is>
      </c>
      <c r="AF24" s="51" t="inlineStr">
        <is>
          <t>√</t>
        </is>
      </c>
      <c r="AG24" s="51" t="inlineStr">
        <is>
          <t>√</t>
        </is>
      </c>
      <c r="AH24" s="51" t="inlineStr">
        <is>
          <t>√</t>
        </is>
      </c>
      <c r="AI24" s="42" t="n"/>
      <c r="AJ24" s="44" t="n"/>
      <c r="AK24" s="15">
        <f>COUNTIF(E24:AI24,"√")</f>
        <v/>
      </c>
      <c r="AL24" s="15">
        <f>COUNTIF(E24:AI24,"●")</f>
        <v/>
      </c>
      <c r="AM24" s="15">
        <f>COUNTIF(E24:AI24,"◎")</f>
        <v/>
      </c>
      <c r="AN24" s="15">
        <f>COUNTIF(E24:AI24,"○")</f>
        <v/>
      </c>
      <c r="AO24" s="15">
        <f>COUNTIF(E24:AI24,"☆")</f>
        <v/>
      </c>
      <c r="AP24" s="15">
        <f>COUNTIF(E24:AI24,"※")</f>
        <v/>
      </c>
      <c r="AQ24" s="15">
        <f>COUNTIF(E24:AI24,"◇")</f>
        <v/>
      </c>
      <c r="AR24" s="15">
        <f>COUNTIF(E24:AI24,"×")</f>
        <v/>
      </c>
      <c r="AS24" s="15">
        <f>COUNTIF(E24:AI24,"△")</f>
        <v/>
      </c>
      <c r="AT24" s="15">
        <f>COUNTIF(E24:AI24,"÷")</f>
        <v/>
      </c>
      <c r="AU24" s="15">
        <f>COUNTIF(E24:AI24,"＃")</f>
        <v/>
      </c>
      <c r="AV24" s="15">
        <f>COUNTIF(E24:AI24,"¤")</f>
        <v/>
      </c>
      <c r="AW24" s="15">
        <f>COUNTIF(E24:AI24,"Ω")</f>
        <v/>
      </c>
      <c r="AX24" s="15">
        <f>COUNTIF(E24:AI24,"▽")</f>
        <v/>
      </c>
      <c r="AY24" s="15">
        <f>COUNTIF(E24:AI24,"👶")</f>
        <v/>
      </c>
    </row>
    <row r="25" ht="30" customHeight="1" s="45">
      <c r="A25" s="50" t="n"/>
      <c r="B25" s="50" t="n"/>
      <c r="C25" s="34" t="inlineStr">
        <is>
          <t>下午</t>
        </is>
      </c>
      <c r="D25" s="50" t="n"/>
      <c r="E25" s="42" t="n"/>
      <c r="F25" s="42" t="n"/>
      <c r="G25" s="42" t="n"/>
      <c r="H25" s="42" t="n"/>
      <c r="I25" s="51" t="inlineStr">
        <is>
          <t>√</t>
        </is>
      </c>
      <c r="J25" s="51" t="inlineStr">
        <is>
          <t>√</t>
        </is>
      </c>
      <c r="K25" s="51" t="inlineStr">
        <is>
          <t>√</t>
        </is>
      </c>
      <c r="L25" s="51" t="inlineStr">
        <is>
          <t>√</t>
        </is>
      </c>
      <c r="M25" s="51" t="inlineStr">
        <is>
          <t>√</t>
        </is>
      </c>
      <c r="N25" s="42" t="n"/>
      <c r="O25" s="42" t="n"/>
      <c r="P25" s="51" t="inlineStr">
        <is>
          <t>√</t>
        </is>
      </c>
      <c r="Q25" s="51" t="inlineStr">
        <is>
          <t>√</t>
        </is>
      </c>
      <c r="R25" s="51" t="inlineStr">
        <is>
          <t>√</t>
        </is>
      </c>
      <c r="S25" s="51" t="inlineStr">
        <is>
          <t>√</t>
        </is>
      </c>
      <c r="T25" s="51" t="inlineStr">
        <is>
          <t>√</t>
        </is>
      </c>
      <c r="U25" s="42" t="n"/>
      <c r="V25" s="42" t="n"/>
      <c r="W25" s="51" t="inlineStr">
        <is>
          <t>√</t>
        </is>
      </c>
      <c r="X25" s="51" t="inlineStr">
        <is>
          <t>√</t>
        </is>
      </c>
      <c r="Y25" s="51" t="inlineStr">
        <is>
          <t>√</t>
        </is>
      </c>
      <c r="Z25" s="51" t="inlineStr">
        <is>
          <t>√</t>
        </is>
      </c>
      <c r="AA25" s="51" t="inlineStr">
        <is>
          <t>√</t>
        </is>
      </c>
      <c r="AB25" s="42" t="n"/>
      <c r="AC25" s="42" t="n"/>
      <c r="AD25" s="51" t="inlineStr">
        <is>
          <t>√</t>
        </is>
      </c>
      <c r="AE25" s="51" t="inlineStr">
        <is>
          <t>√</t>
        </is>
      </c>
      <c r="AF25" s="51" t="inlineStr">
        <is>
          <t>√</t>
        </is>
      </c>
      <c r="AG25" s="51" t="inlineStr">
        <is>
          <t>√</t>
        </is>
      </c>
      <c r="AH25" s="51" t="inlineStr">
        <is>
          <t>√</t>
        </is>
      </c>
      <c r="AI25" s="42" t="n"/>
      <c r="AJ25" s="50" t="n"/>
      <c r="AK25" s="15">
        <f>COUNTIF(E25:AI25,"√")</f>
        <v/>
      </c>
      <c r="AL25" s="15">
        <f>COUNTIF(E25:AI25,"●")</f>
        <v/>
      </c>
      <c r="AM25" s="15">
        <f>COUNTIF(E25:AI25,"◎")</f>
        <v/>
      </c>
      <c r="AN25" s="15">
        <f>COUNTIF(E25:AI25,"○")</f>
        <v/>
      </c>
      <c r="AO25" s="15">
        <f>COUNTIF(E25:AI25,"☆")</f>
        <v/>
      </c>
      <c r="AP25" s="15">
        <f>COUNTIF(E25:AI25,"※")</f>
        <v/>
      </c>
      <c r="AQ25" s="15">
        <f>COUNTIF(E25:AI25,"◇")</f>
        <v/>
      </c>
      <c r="AR25" s="15">
        <f>COUNTIF(E25:AI25,"×")</f>
        <v/>
      </c>
      <c r="AS25" s="15">
        <f>COUNTIF(E25:AI25,"△")</f>
        <v/>
      </c>
      <c r="AT25" s="15">
        <f>COUNTIF(E25:AI25,"÷")</f>
        <v/>
      </c>
      <c r="AU25" s="15">
        <f>COUNTIF(E25:AI25,"＃")</f>
        <v/>
      </c>
      <c r="AV25" s="15">
        <f>COUNTIF(E25:AI25,"¤")</f>
        <v/>
      </c>
      <c r="AW25" s="15">
        <f>COUNTIF(E25:AI25,"Ω")</f>
        <v/>
      </c>
      <c r="AX25" s="15">
        <f>COUNTIF(E25:AI25,"▽")</f>
        <v/>
      </c>
      <c r="AY25" s="15">
        <f>COUNTIF(E25:AI25,"👶")</f>
        <v/>
      </c>
    </row>
    <row r="26" ht="30" customHeight="1" s="45">
      <c r="A26" s="43" t="inlineStr">
        <is>
          <t>员工K</t>
        </is>
      </c>
      <c r="B26" s="11" t="n"/>
      <c r="C26" s="34" t="inlineStr">
        <is>
          <t>上午</t>
        </is>
      </c>
      <c r="D26" s="43" t="n"/>
      <c r="E26" s="42" t="n"/>
      <c r="F26" s="42" t="n"/>
      <c r="G26" s="42" t="n"/>
      <c r="H26" s="42" t="n"/>
      <c r="I26" s="51" t="inlineStr">
        <is>
          <t>√</t>
        </is>
      </c>
      <c r="J26" s="51" t="inlineStr">
        <is>
          <t>√</t>
        </is>
      </c>
      <c r="K26" s="51" t="inlineStr">
        <is>
          <t>√</t>
        </is>
      </c>
      <c r="L26" s="51" t="inlineStr">
        <is>
          <t>√</t>
        </is>
      </c>
      <c r="M26" s="51" t="inlineStr">
        <is>
          <t>√</t>
        </is>
      </c>
      <c r="N26" s="42" t="n"/>
      <c r="O26" s="42" t="n"/>
      <c r="P26" s="51" t="inlineStr">
        <is>
          <t>√</t>
        </is>
      </c>
      <c r="Q26" s="51" t="inlineStr">
        <is>
          <t>√</t>
        </is>
      </c>
      <c r="R26" s="51" t="inlineStr">
        <is>
          <t>√</t>
        </is>
      </c>
      <c r="S26" s="51" t="inlineStr">
        <is>
          <t>√</t>
        </is>
      </c>
      <c r="T26" s="51" t="inlineStr">
        <is>
          <t>√</t>
        </is>
      </c>
      <c r="U26" s="42" t="n"/>
      <c r="V26" s="42" t="n"/>
      <c r="W26" s="51" t="inlineStr">
        <is>
          <t>√</t>
        </is>
      </c>
      <c r="X26" s="51" t="inlineStr">
        <is>
          <t>√</t>
        </is>
      </c>
      <c r="Y26" s="51" t="inlineStr">
        <is>
          <t>√</t>
        </is>
      </c>
      <c r="Z26" s="51" t="inlineStr">
        <is>
          <t>√</t>
        </is>
      </c>
      <c r="AA26" s="51" t="inlineStr">
        <is>
          <t>√</t>
        </is>
      </c>
      <c r="AB26" s="42" t="n"/>
      <c r="AC26" s="42" t="n"/>
      <c r="AD26" s="51" t="inlineStr">
        <is>
          <t>√</t>
        </is>
      </c>
      <c r="AE26" s="51" t="inlineStr">
        <is>
          <t>√</t>
        </is>
      </c>
      <c r="AF26" s="51" t="inlineStr">
        <is>
          <t>√</t>
        </is>
      </c>
      <c r="AG26" s="51" t="inlineStr">
        <is>
          <t>√</t>
        </is>
      </c>
      <c r="AH26" s="51" t="inlineStr">
        <is>
          <t>÷</t>
        </is>
      </c>
      <c r="AI26" s="42" t="n"/>
      <c r="AJ26" s="44" t="inlineStr">
        <is>
          <t>1天年假</t>
        </is>
      </c>
      <c r="AK26" s="15">
        <f>COUNTIF(E26:AI26,"√")</f>
        <v/>
      </c>
      <c r="AL26" s="15">
        <f>COUNTIF(E26:AI26,"●")</f>
        <v/>
      </c>
      <c r="AM26" s="15">
        <f>COUNTIF(E26:AI26,"◎")</f>
        <v/>
      </c>
      <c r="AN26" s="15">
        <f>COUNTIF(E26:AI26,"○")</f>
        <v/>
      </c>
      <c r="AO26" s="15">
        <f>COUNTIF(E26:AI26,"☆")</f>
        <v/>
      </c>
      <c r="AP26" s="15">
        <f>COUNTIF(E26:AI26,"※")</f>
        <v/>
      </c>
      <c r="AQ26" s="15">
        <f>COUNTIF(E26:AI26,"◇")</f>
        <v/>
      </c>
      <c r="AR26" s="15">
        <f>COUNTIF(E26:AI26,"×")</f>
        <v/>
      </c>
      <c r="AS26" s="15">
        <f>COUNTIF(E26:AI26,"△")</f>
        <v/>
      </c>
      <c r="AT26" s="15">
        <f>COUNTIF(E26:AI26,"÷")</f>
        <v/>
      </c>
      <c r="AU26" s="15">
        <f>COUNTIF(E26:AI26,"＃")</f>
        <v/>
      </c>
      <c r="AV26" s="15">
        <f>COUNTIF(E26:AI26,"¤")</f>
        <v/>
      </c>
      <c r="AW26" s="15">
        <f>COUNTIF(E26:AI26,"Ω")</f>
        <v/>
      </c>
      <c r="AX26" s="15">
        <f>COUNTIF(E26:AI26,"▽")</f>
        <v/>
      </c>
      <c r="AY26" s="15">
        <f>COUNTIF(E26:AI26,"👶")</f>
        <v/>
      </c>
    </row>
    <row r="27" ht="30" customHeight="1" s="45">
      <c r="A27" s="50" t="n"/>
      <c r="B27" s="50" t="n"/>
      <c r="C27" s="34" t="inlineStr">
        <is>
          <t>下午</t>
        </is>
      </c>
      <c r="D27" s="50" t="n"/>
      <c r="E27" s="42" t="n"/>
      <c r="F27" s="42" t="n"/>
      <c r="G27" s="42" t="n"/>
      <c r="H27" s="42" t="n"/>
      <c r="I27" s="51" t="inlineStr">
        <is>
          <t>√</t>
        </is>
      </c>
      <c r="J27" s="51" t="inlineStr">
        <is>
          <t>√</t>
        </is>
      </c>
      <c r="K27" s="51" t="inlineStr">
        <is>
          <t>√</t>
        </is>
      </c>
      <c r="L27" s="51" t="inlineStr">
        <is>
          <t>√</t>
        </is>
      </c>
      <c r="M27" s="51" t="inlineStr">
        <is>
          <t>√</t>
        </is>
      </c>
      <c r="N27" s="42" t="n"/>
      <c r="O27" s="42" t="n"/>
      <c r="P27" s="51" t="inlineStr">
        <is>
          <t>√</t>
        </is>
      </c>
      <c r="Q27" s="51" t="inlineStr">
        <is>
          <t>√</t>
        </is>
      </c>
      <c r="R27" s="51" t="inlineStr">
        <is>
          <t>√</t>
        </is>
      </c>
      <c r="S27" s="51" t="inlineStr">
        <is>
          <t>√</t>
        </is>
      </c>
      <c r="T27" s="51" t="inlineStr">
        <is>
          <t>√</t>
        </is>
      </c>
      <c r="U27" s="42" t="n"/>
      <c r="V27" s="42" t="n"/>
      <c r="W27" s="51" t="inlineStr">
        <is>
          <t>√</t>
        </is>
      </c>
      <c r="X27" s="51" t="inlineStr">
        <is>
          <t>√</t>
        </is>
      </c>
      <c r="Y27" s="51" t="inlineStr">
        <is>
          <t>√</t>
        </is>
      </c>
      <c r="Z27" s="51" t="inlineStr">
        <is>
          <t>√</t>
        </is>
      </c>
      <c r="AA27" s="51" t="inlineStr">
        <is>
          <t>√</t>
        </is>
      </c>
      <c r="AB27" s="42" t="n"/>
      <c r="AC27" s="42" t="n"/>
      <c r="AD27" s="51" t="inlineStr">
        <is>
          <t>√</t>
        </is>
      </c>
      <c r="AE27" s="51" t="inlineStr">
        <is>
          <t>√</t>
        </is>
      </c>
      <c r="AF27" s="51" t="inlineStr">
        <is>
          <t>√</t>
        </is>
      </c>
      <c r="AG27" s="51" t="inlineStr">
        <is>
          <t>√</t>
        </is>
      </c>
      <c r="AH27" s="51" t="inlineStr">
        <is>
          <t>÷</t>
        </is>
      </c>
      <c r="AI27" s="42" t="n"/>
      <c r="AJ27" s="50" t="n"/>
      <c r="AK27" s="15">
        <f>COUNTIF(E27:AI27,"√")</f>
        <v/>
      </c>
      <c r="AL27" s="15">
        <f>COUNTIF(E27:AI27,"●")</f>
        <v/>
      </c>
      <c r="AM27" s="15">
        <f>COUNTIF(E27:AI27,"◎")</f>
        <v/>
      </c>
      <c r="AN27" s="15">
        <f>COUNTIF(E27:AI27,"○")</f>
        <v/>
      </c>
      <c r="AO27" s="15">
        <f>COUNTIF(E27:AI27,"☆")</f>
        <v/>
      </c>
      <c r="AP27" s="15">
        <f>COUNTIF(E27:AI27,"※")</f>
        <v/>
      </c>
      <c r="AQ27" s="15">
        <f>COUNTIF(E27:AI27,"◇")</f>
        <v/>
      </c>
      <c r="AR27" s="15">
        <f>COUNTIF(E27:AI27,"×")</f>
        <v/>
      </c>
      <c r="AS27" s="15">
        <f>COUNTIF(E27:AI27,"△")</f>
        <v/>
      </c>
      <c r="AT27" s="15">
        <f>COUNTIF(E27:AI27,"÷")</f>
        <v/>
      </c>
      <c r="AU27" s="15">
        <f>COUNTIF(E27:AI27,"＃")</f>
        <v/>
      </c>
      <c r="AV27" s="15">
        <f>COUNTIF(E27:AI27,"¤")</f>
        <v/>
      </c>
      <c r="AW27" s="15">
        <f>COUNTIF(E27:AI27,"Ω")</f>
        <v/>
      </c>
      <c r="AX27" s="15">
        <f>COUNTIF(E27:AI27,"▽")</f>
        <v/>
      </c>
      <c r="AY27" s="15">
        <f>COUNTIF(E27:AI27,"👶")</f>
        <v/>
      </c>
    </row>
    <row r="28" ht="30" customHeight="1" s="45">
      <c r="A28" s="43" t="inlineStr">
        <is>
          <t>员工L</t>
        </is>
      </c>
      <c r="B28" s="11" t="n"/>
      <c r="C28" s="34" t="inlineStr">
        <is>
          <t>上午</t>
        </is>
      </c>
      <c r="D28" s="42" t="n"/>
      <c r="E28" s="42" t="n"/>
      <c r="F28" s="42" t="n"/>
      <c r="G28" s="42" t="n"/>
      <c r="H28" s="42" t="n"/>
      <c r="I28" s="51" t="inlineStr">
        <is>
          <t>√</t>
        </is>
      </c>
      <c r="J28" s="51" t="inlineStr">
        <is>
          <t>√</t>
        </is>
      </c>
      <c r="K28" s="51" t="inlineStr">
        <is>
          <t>√</t>
        </is>
      </c>
      <c r="L28" s="51" t="inlineStr">
        <is>
          <t>√</t>
        </is>
      </c>
      <c r="M28" s="51" t="inlineStr">
        <is>
          <t>√</t>
        </is>
      </c>
      <c r="N28" s="42" t="n"/>
      <c r="O28" s="42" t="n"/>
      <c r="P28" s="51" t="inlineStr">
        <is>
          <t>√</t>
        </is>
      </c>
      <c r="Q28" s="51" t="inlineStr">
        <is>
          <t>√</t>
        </is>
      </c>
      <c r="R28" s="51" t="inlineStr">
        <is>
          <t>√</t>
        </is>
      </c>
      <c r="S28" s="51" t="inlineStr">
        <is>
          <t>√</t>
        </is>
      </c>
      <c r="T28" s="51" t="inlineStr">
        <is>
          <t>√</t>
        </is>
      </c>
      <c r="U28" s="42" t="n"/>
      <c r="V28" s="42" t="n"/>
      <c r="W28" s="51" t="inlineStr">
        <is>
          <t>√</t>
        </is>
      </c>
      <c r="X28" s="51" t="inlineStr">
        <is>
          <t>√</t>
        </is>
      </c>
      <c r="Y28" s="51" t="inlineStr">
        <is>
          <t>√</t>
        </is>
      </c>
      <c r="Z28" s="51" t="inlineStr">
        <is>
          <t>√</t>
        </is>
      </c>
      <c r="AA28" s="51" t="inlineStr">
        <is>
          <t>√</t>
        </is>
      </c>
      <c r="AB28" s="42" t="n"/>
      <c r="AC28" s="42" t="n"/>
      <c r="AD28" s="51" t="inlineStr">
        <is>
          <t>√</t>
        </is>
      </c>
      <c r="AE28" s="51" t="inlineStr">
        <is>
          <t>√</t>
        </is>
      </c>
      <c r="AF28" s="51" t="inlineStr">
        <is>
          <t>√</t>
        </is>
      </c>
      <c r="AG28" s="51" t="inlineStr">
        <is>
          <t>√</t>
        </is>
      </c>
      <c r="AH28" s="51" t="inlineStr">
        <is>
          <t>√</t>
        </is>
      </c>
      <c r="AI28" s="42" t="n"/>
      <c r="AJ28" s="44" t="n"/>
      <c r="AK28" s="15">
        <f>COUNTIF(E28:AI28,"√")</f>
        <v/>
      </c>
      <c r="AL28" s="15">
        <f>COUNTIF(E28:AI28,"●")</f>
        <v/>
      </c>
      <c r="AM28" s="15">
        <f>COUNTIF(E28:AI28,"◎")</f>
        <v/>
      </c>
      <c r="AN28" s="15">
        <f>COUNTIF(E28:AI28,"○")</f>
        <v/>
      </c>
      <c r="AO28" s="15">
        <f>COUNTIF(E28:AI28,"☆")</f>
        <v/>
      </c>
      <c r="AP28" s="15">
        <f>COUNTIF(E28:AI28,"※")</f>
        <v/>
      </c>
      <c r="AQ28" s="15">
        <f>COUNTIF(E28:AI28,"◇")</f>
        <v/>
      </c>
      <c r="AR28" s="15">
        <f>COUNTIF(E28:AI28,"×")</f>
        <v/>
      </c>
      <c r="AS28" s="15">
        <f>COUNTIF(E28:AI28,"△")</f>
        <v/>
      </c>
      <c r="AT28" s="15">
        <f>COUNTIF(E28:AI28,"÷")</f>
        <v/>
      </c>
      <c r="AU28" s="15">
        <f>COUNTIF(E28:AI28,"＃")</f>
        <v/>
      </c>
      <c r="AV28" s="15">
        <f>COUNTIF(E28:AI28,"¤")</f>
        <v/>
      </c>
      <c r="AW28" s="15">
        <f>COUNTIF(E28:AI28,"Ω")</f>
        <v/>
      </c>
      <c r="AX28" s="15">
        <f>COUNTIF(E28:AI28,"▽")</f>
        <v/>
      </c>
      <c r="AY28" s="15">
        <f>COUNTIF(E28:AI28,"👶")</f>
        <v/>
      </c>
    </row>
    <row r="29" ht="30" customHeight="1" s="45">
      <c r="A29" s="50" t="n"/>
      <c r="B29" s="50" t="n"/>
      <c r="C29" s="34" t="inlineStr">
        <is>
          <t>下午</t>
        </is>
      </c>
      <c r="D29" s="42" t="n"/>
      <c r="E29" s="42" t="n"/>
      <c r="F29" s="42" t="n"/>
      <c r="G29" s="42" t="n"/>
      <c r="H29" s="42" t="n"/>
      <c r="I29" s="51" t="inlineStr">
        <is>
          <t>√</t>
        </is>
      </c>
      <c r="J29" s="51" t="inlineStr">
        <is>
          <t>√</t>
        </is>
      </c>
      <c r="K29" s="51" t="inlineStr">
        <is>
          <t>√</t>
        </is>
      </c>
      <c r="L29" s="51" t="inlineStr">
        <is>
          <t>√</t>
        </is>
      </c>
      <c r="M29" s="51" t="inlineStr">
        <is>
          <t>√</t>
        </is>
      </c>
      <c r="N29" s="42" t="n"/>
      <c r="O29" s="42" t="n"/>
      <c r="P29" s="51" t="inlineStr">
        <is>
          <t>√</t>
        </is>
      </c>
      <c r="Q29" s="51" t="inlineStr">
        <is>
          <t>√</t>
        </is>
      </c>
      <c r="R29" s="51" t="inlineStr">
        <is>
          <t>√</t>
        </is>
      </c>
      <c r="S29" s="51" t="inlineStr">
        <is>
          <t>√</t>
        </is>
      </c>
      <c r="T29" s="51" t="inlineStr">
        <is>
          <t>√</t>
        </is>
      </c>
      <c r="U29" s="42" t="n"/>
      <c r="V29" s="42" t="n"/>
      <c r="W29" s="51" t="inlineStr">
        <is>
          <t>√</t>
        </is>
      </c>
      <c r="X29" s="51" t="inlineStr">
        <is>
          <t>√</t>
        </is>
      </c>
      <c r="Y29" s="51" t="inlineStr">
        <is>
          <t>√</t>
        </is>
      </c>
      <c r="Z29" s="51" t="inlineStr">
        <is>
          <t>√</t>
        </is>
      </c>
      <c r="AA29" s="51" t="inlineStr">
        <is>
          <t>√</t>
        </is>
      </c>
      <c r="AB29" s="42" t="n"/>
      <c r="AC29" s="42" t="n"/>
      <c r="AD29" s="51" t="inlineStr">
        <is>
          <t>√</t>
        </is>
      </c>
      <c r="AE29" s="51" t="inlineStr">
        <is>
          <t>√</t>
        </is>
      </c>
      <c r="AF29" s="51" t="inlineStr">
        <is>
          <t>√</t>
        </is>
      </c>
      <c r="AG29" s="51" t="inlineStr">
        <is>
          <t>√</t>
        </is>
      </c>
      <c r="AH29" s="51" t="inlineStr">
        <is>
          <t>√</t>
        </is>
      </c>
      <c r="AI29" s="42" t="n"/>
      <c r="AJ29" s="50" t="n"/>
      <c r="AK29" s="15">
        <f>COUNTIF(E29:AI29,"√")</f>
        <v/>
      </c>
      <c r="AL29" s="15">
        <f>COUNTIF(E29:AI29,"●")</f>
        <v/>
      </c>
      <c r="AM29" s="15">
        <f>COUNTIF(E29:AI29,"◎")</f>
        <v/>
      </c>
      <c r="AN29" s="15">
        <f>COUNTIF(E29:AI29,"○")</f>
        <v/>
      </c>
      <c r="AO29" s="15">
        <f>COUNTIF(E29:AI29,"☆")</f>
        <v/>
      </c>
      <c r="AP29" s="15">
        <f>COUNTIF(E29:AI29,"※")</f>
        <v/>
      </c>
      <c r="AQ29" s="15">
        <f>COUNTIF(E29:AI29,"◇")</f>
        <v/>
      </c>
      <c r="AR29" s="15">
        <f>COUNTIF(E29:AI29,"×")</f>
        <v/>
      </c>
      <c r="AS29" s="15">
        <f>COUNTIF(E29:AI29,"△")</f>
        <v/>
      </c>
      <c r="AT29" s="15">
        <f>COUNTIF(E29:AI29,"÷")</f>
        <v/>
      </c>
      <c r="AU29" s="15">
        <f>COUNTIF(E29:AI29,"＃")</f>
        <v/>
      </c>
      <c r="AV29" s="15">
        <f>COUNTIF(E29:AI29,"¤")</f>
        <v/>
      </c>
      <c r="AW29" s="15">
        <f>COUNTIF(E29:AI29,"Ω")</f>
        <v/>
      </c>
      <c r="AX29" s="15">
        <f>COUNTIF(E29:AI29,"▽")</f>
        <v/>
      </c>
      <c r="AY29" s="15">
        <f>COUNTIF(E29:AI29,"👶")</f>
        <v/>
      </c>
    </row>
    <row r="30" ht="30" customHeight="1" s="45">
      <c r="A30" s="43" t="inlineStr">
        <is>
          <t>员工M</t>
        </is>
      </c>
      <c r="B30" s="11" t="n"/>
      <c r="C30" s="34" t="inlineStr">
        <is>
          <t>上午</t>
        </is>
      </c>
      <c r="D30" s="43" t="n"/>
      <c r="E30" s="42" t="n"/>
      <c r="F30" s="42" t="n"/>
      <c r="G30" s="42" t="n"/>
      <c r="H30" s="42" t="n"/>
      <c r="I30" s="42" t="inlineStr">
        <is>
          <t>＃</t>
        </is>
      </c>
      <c r="J30" s="51" t="inlineStr">
        <is>
          <t>√</t>
        </is>
      </c>
      <c r="K30" s="51" t="inlineStr">
        <is>
          <t>√</t>
        </is>
      </c>
      <c r="L30" s="51" t="inlineStr">
        <is>
          <t>√</t>
        </is>
      </c>
      <c r="M30" s="51" t="inlineStr">
        <is>
          <t>√</t>
        </is>
      </c>
      <c r="N30" s="42" t="n"/>
      <c r="O30" s="42" t="n"/>
      <c r="P30" s="51" t="inlineStr">
        <is>
          <t>√</t>
        </is>
      </c>
      <c r="Q30" s="51" t="inlineStr">
        <is>
          <t>√</t>
        </is>
      </c>
      <c r="R30" s="51" t="inlineStr">
        <is>
          <t>√</t>
        </is>
      </c>
      <c r="S30" s="51" t="inlineStr">
        <is>
          <t>√</t>
        </is>
      </c>
      <c r="T30" s="51" t="inlineStr">
        <is>
          <t>√</t>
        </is>
      </c>
      <c r="U30" s="42" t="n"/>
      <c r="V30" s="42" t="n"/>
      <c r="W30" s="51" t="inlineStr">
        <is>
          <t>√</t>
        </is>
      </c>
      <c r="X30" s="51" t="inlineStr">
        <is>
          <t>√</t>
        </is>
      </c>
      <c r="Y30" s="51" t="inlineStr">
        <is>
          <t>√</t>
        </is>
      </c>
      <c r="Z30" s="51" t="inlineStr">
        <is>
          <t>√</t>
        </is>
      </c>
      <c r="AA30" s="51" t="inlineStr">
        <is>
          <t>√</t>
        </is>
      </c>
      <c r="AB30" s="42" t="n"/>
      <c r="AC30" s="42" t="n"/>
      <c r="AD30" s="51" t="inlineStr">
        <is>
          <t>√</t>
        </is>
      </c>
      <c r="AE30" s="51" t="inlineStr">
        <is>
          <t>√</t>
        </is>
      </c>
      <c r="AF30" s="51" t="inlineStr">
        <is>
          <t>√</t>
        </is>
      </c>
      <c r="AG30" s="51" t="inlineStr">
        <is>
          <t>√</t>
        </is>
      </c>
      <c r="AH30" s="51" t="inlineStr">
        <is>
          <t>√</t>
        </is>
      </c>
      <c r="AI30" s="42" t="n"/>
      <c r="AJ30" s="44" t="inlineStr">
        <is>
          <t>1天调休</t>
        </is>
      </c>
      <c r="AK30" s="15">
        <f>COUNTIF(E30:AI30,"√")</f>
        <v/>
      </c>
      <c r="AL30" s="15">
        <f>COUNTIF(E30:AI30,"●")</f>
        <v/>
      </c>
      <c r="AM30" s="15">
        <f>COUNTIF(E30:AI30,"◎")</f>
        <v/>
      </c>
      <c r="AN30" s="15">
        <f>COUNTIF(E30:AI30,"○")</f>
        <v/>
      </c>
      <c r="AO30" s="15">
        <f>COUNTIF(E30:AI30,"☆")</f>
        <v/>
      </c>
      <c r="AP30" s="15">
        <f>COUNTIF(E30:AI30,"※")</f>
        <v/>
      </c>
      <c r="AQ30" s="15">
        <f>COUNTIF(E30:AI30,"◇")</f>
        <v/>
      </c>
      <c r="AR30" s="15">
        <f>COUNTIF(E30:AI30,"×")</f>
        <v/>
      </c>
      <c r="AS30" s="15">
        <f>COUNTIF(E30:AI30,"△")</f>
        <v/>
      </c>
      <c r="AT30" s="15">
        <f>COUNTIF(E30:AI30,"÷")</f>
        <v/>
      </c>
      <c r="AU30" s="15">
        <f>COUNTIF(E30:AI30,"＃")</f>
        <v/>
      </c>
      <c r="AV30" s="15">
        <f>COUNTIF(E30:AI30,"¤")</f>
        <v/>
      </c>
      <c r="AW30" s="15">
        <f>COUNTIF(E30:AI30,"Ω")</f>
        <v/>
      </c>
      <c r="AX30" s="15">
        <f>COUNTIF(E30:AI30,"▽")</f>
        <v/>
      </c>
      <c r="AY30" s="15">
        <f>COUNTIF(E30:AI30,"👶")</f>
        <v/>
      </c>
    </row>
    <row r="31" ht="30" customHeight="1" s="45">
      <c r="A31" s="50" t="n"/>
      <c r="B31" s="50" t="n"/>
      <c r="C31" s="34" t="inlineStr">
        <is>
          <t>下午</t>
        </is>
      </c>
      <c r="D31" s="50" t="n"/>
      <c r="E31" s="42" t="n"/>
      <c r="F31" s="42" t="n"/>
      <c r="G31" s="42" t="n"/>
      <c r="H31" s="42" t="n"/>
      <c r="I31" s="42" t="inlineStr">
        <is>
          <t>＃</t>
        </is>
      </c>
      <c r="J31" s="51" t="inlineStr">
        <is>
          <t>√</t>
        </is>
      </c>
      <c r="K31" s="51" t="inlineStr">
        <is>
          <t>√</t>
        </is>
      </c>
      <c r="L31" s="51" t="inlineStr">
        <is>
          <t>√</t>
        </is>
      </c>
      <c r="M31" s="51" t="inlineStr">
        <is>
          <t>√</t>
        </is>
      </c>
      <c r="N31" s="42" t="n"/>
      <c r="O31" s="42" t="n"/>
      <c r="P31" s="51" t="inlineStr">
        <is>
          <t>√</t>
        </is>
      </c>
      <c r="Q31" s="51" t="inlineStr">
        <is>
          <t>√</t>
        </is>
      </c>
      <c r="R31" s="51" t="inlineStr">
        <is>
          <t>√</t>
        </is>
      </c>
      <c r="S31" s="51" t="inlineStr">
        <is>
          <t>√</t>
        </is>
      </c>
      <c r="T31" s="51" t="inlineStr">
        <is>
          <t>√</t>
        </is>
      </c>
      <c r="U31" s="42" t="n"/>
      <c r="V31" s="42" t="n"/>
      <c r="W31" s="51" t="inlineStr">
        <is>
          <t>√</t>
        </is>
      </c>
      <c r="X31" s="51" t="inlineStr">
        <is>
          <t>√</t>
        </is>
      </c>
      <c r="Y31" s="51" t="inlineStr">
        <is>
          <t>√</t>
        </is>
      </c>
      <c r="Z31" s="51" t="inlineStr">
        <is>
          <t>√</t>
        </is>
      </c>
      <c r="AA31" s="51" t="inlineStr">
        <is>
          <t>√</t>
        </is>
      </c>
      <c r="AB31" s="42" t="n"/>
      <c r="AC31" s="42" t="n"/>
      <c r="AD31" s="51" t="inlineStr">
        <is>
          <t>√</t>
        </is>
      </c>
      <c r="AE31" s="51" t="inlineStr">
        <is>
          <t>√</t>
        </is>
      </c>
      <c r="AF31" s="51" t="inlineStr">
        <is>
          <t>√</t>
        </is>
      </c>
      <c r="AG31" s="51" t="inlineStr">
        <is>
          <t>√</t>
        </is>
      </c>
      <c r="AH31" s="51" t="inlineStr">
        <is>
          <t>√</t>
        </is>
      </c>
      <c r="AI31" s="42" t="n"/>
      <c r="AJ31" s="50" t="n"/>
      <c r="AK31" s="15">
        <f>COUNTIF(E31:AI31,"√")</f>
        <v/>
      </c>
      <c r="AL31" s="15">
        <f>COUNTIF(E31:AI31,"●")</f>
        <v/>
      </c>
      <c r="AM31" s="15">
        <f>COUNTIF(E31:AI31,"◎")</f>
        <v/>
      </c>
      <c r="AN31" s="15">
        <f>COUNTIF(E31:AI31,"○")</f>
        <v/>
      </c>
      <c r="AO31" s="15">
        <f>COUNTIF(E31:AI31,"☆")</f>
        <v/>
      </c>
      <c r="AP31" s="15">
        <f>COUNTIF(E31:AI31,"※")</f>
        <v/>
      </c>
      <c r="AQ31" s="15">
        <f>COUNTIF(E31:AI31,"◇")</f>
        <v/>
      </c>
      <c r="AR31" s="15">
        <f>COUNTIF(E31:AI31,"×")</f>
        <v/>
      </c>
      <c r="AS31" s="15">
        <f>COUNTIF(E31:AI31,"△")</f>
        <v/>
      </c>
      <c r="AT31" s="15">
        <f>COUNTIF(E31:AI31,"÷")</f>
        <v/>
      </c>
      <c r="AU31" s="15">
        <f>COUNTIF(E31:AI31,"＃")</f>
        <v/>
      </c>
      <c r="AV31" s="15">
        <f>COUNTIF(E31:AI31,"¤")</f>
        <v/>
      </c>
      <c r="AW31" s="15">
        <f>COUNTIF(E31:AI31,"Ω")</f>
        <v/>
      </c>
      <c r="AX31" s="15">
        <f>COUNTIF(E31:AI31,"▽")</f>
        <v/>
      </c>
      <c r="AY31" s="15">
        <f>COUNTIF(E31:AI31,"👶")</f>
        <v/>
      </c>
    </row>
    <row r="32" ht="30" customHeight="1" s="45">
      <c r="A32" s="43" t="inlineStr">
        <is>
          <t>员工N</t>
        </is>
      </c>
      <c r="B32" s="11" t="n"/>
      <c r="C32" s="34" t="inlineStr">
        <is>
          <t>上午</t>
        </is>
      </c>
      <c r="D32" s="43" t="n"/>
      <c r="E32" s="42" t="n"/>
      <c r="F32" s="42" t="n"/>
      <c r="G32" s="42" t="n"/>
      <c r="H32" s="42" t="n"/>
      <c r="I32" s="51" t="inlineStr">
        <is>
          <t>√</t>
        </is>
      </c>
      <c r="J32" s="51" t="inlineStr">
        <is>
          <t>√</t>
        </is>
      </c>
      <c r="K32" s="51" t="inlineStr">
        <is>
          <t>√</t>
        </is>
      </c>
      <c r="L32" s="51" t="inlineStr">
        <is>
          <t>√</t>
        </is>
      </c>
      <c r="M32" s="51" t="inlineStr">
        <is>
          <t>√</t>
        </is>
      </c>
      <c r="N32" s="42" t="n"/>
      <c r="O32" s="42" t="n"/>
      <c r="P32" s="51" t="inlineStr">
        <is>
          <t>√</t>
        </is>
      </c>
      <c r="Q32" s="51" t="inlineStr">
        <is>
          <t>√</t>
        </is>
      </c>
      <c r="R32" s="51" t="inlineStr">
        <is>
          <t>√</t>
        </is>
      </c>
      <c r="S32" s="51" t="inlineStr">
        <is>
          <t>√</t>
        </is>
      </c>
      <c r="T32" s="51" t="inlineStr">
        <is>
          <t>√</t>
        </is>
      </c>
      <c r="U32" s="42" t="n"/>
      <c r="V32" s="42" t="n"/>
      <c r="W32" s="51" t="inlineStr">
        <is>
          <t>√</t>
        </is>
      </c>
      <c r="X32" s="51" t="inlineStr">
        <is>
          <t>√</t>
        </is>
      </c>
      <c r="Y32" s="51" t="inlineStr">
        <is>
          <t>√</t>
        </is>
      </c>
      <c r="Z32" s="51" t="inlineStr">
        <is>
          <t>√</t>
        </is>
      </c>
      <c r="AA32" s="51" t="inlineStr">
        <is>
          <t>√</t>
        </is>
      </c>
      <c r="AB32" s="42" t="n"/>
      <c r="AC32" s="42" t="n"/>
      <c r="AD32" s="51" t="inlineStr">
        <is>
          <t>√</t>
        </is>
      </c>
      <c r="AE32" s="51" t="inlineStr">
        <is>
          <t>√</t>
        </is>
      </c>
      <c r="AF32" s="51" t="inlineStr">
        <is>
          <t>√</t>
        </is>
      </c>
      <c r="AG32" s="51" t="inlineStr">
        <is>
          <t>√</t>
        </is>
      </c>
      <c r="AH32" s="51" t="inlineStr">
        <is>
          <t>√</t>
        </is>
      </c>
      <c r="AI32" s="42" t="n"/>
      <c r="AJ32" s="44" t="n"/>
      <c r="AK32" s="15">
        <f>COUNTIF(E32:AI32,"√")</f>
        <v/>
      </c>
      <c r="AL32" s="15">
        <f>COUNTIF(E32:AI32,"●")</f>
        <v/>
      </c>
      <c r="AM32" s="15">
        <f>COUNTIF(E32:AI32,"◎")</f>
        <v/>
      </c>
      <c r="AN32" s="15">
        <f>COUNTIF(E32:AI32,"○")</f>
        <v/>
      </c>
      <c r="AO32" s="15">
        <f>COUNTIF(E32:AI32,"☆")</f>
        <v/>
      </c>
      <c r="AP32" s="15">
        <f>COUNTIF(E32:AI32,"※")</f>
        <v/>
      </c>
      <c r="AQ32" s="15">
        <f>COUNTIF(E32:AI32,"◇")</f>
        <v/>
      </c>
      <c r="AR32" s="15">
        <f>COUNTIF(E32:AI32,"×")</f>
        <v/>
      </c>
      <c r="AS32" s="15">
        <f>COUNTIF(E32:AI32,"△")</f>
        <v/>
      </c>
      <c r="AT32" s="15">
        <f>COUNTIF(E32:AI32,"÷")</f>
        <v/>
      </c>
      <c r="AU32" s="15">
        <f>COUNTIF(E32:AI32,"＃")</f>
        <v/>
      </c>
      <c r="AV32" s="15">
        <f>COUNTIF(E32:AI32,"¤")</f>
        <v/>
      </c>
      <c r="AW32" s="15">
        <f>COUNTIF(E32:AI32,"Ω")</f>
        <v/>
      </c>
      <c r="AX32" s="15">
        <f>COUNTIF(E32:AI32,"▽")</f>
        <v/>
      </c>
      <c r="AY32" s="15">
        <f>COUNTIF(E32:AI32,"👶")</f>
        <v/>
      </c>
    </row>
    <row r="33" ht="30" customHeight="1" s="45">
      <c r="A33" s="50" t="n"/>
      <c r="B33" s="50" t="n"/>
      <c r="C33" s="34" t="inlineStr">
        <is>
          <t>下午</t>
        </is>
      </c>
      <c r="D33" s="50" t="n"/>
      <c r="E33" s="42" t="n"/>
      <c r="F33" s="42" t="n"/>
      <c r="G33" s="51" t="n"/>
      <c r="H33" s="51" t="n"/>
      <c r="I33" s="51" t="inlineStr">
        <is>
          <t>√</t>
        </is>
      </c>
      <c r="J33" s="51" t="inlineStr">
        <is>
          <t>√</t>
        </is>
      </c>
      <c r="K33" s="51" t="inlineStr">
        <is>
          <t>√</t>
        </is>
      </c>
      <c r="L33" s="51" t="inlineStr">
        <is>
          <t>√</t>
        </is>
      </c>
      <c r="M33" s="51" t="inlineStr">
        <is>
          <t>√</t>
        </is>
      </c>
      <c r="N33" s="42" t="n"/>
      <c r="O33" s="42" t="n"/>
      <c r="P33" s="51" t="inlineStr">
        <is>
          <t>√</t>
        </is>
      </c>
      <c r="Q33" s="51" t="inlineStr">
        <is>
          <t>√</t>
        </is>
      </c>
      <c r="R33" s="51" t="inlineStr">
        <is>
          <t>√</t>
        </is>
      </c>
      <c r="S33" s="51" t="inlineStr">
        <is>
          <t>√</t>
        </is>
      </c>
      <c r="T33" s="51" t="inlineStr">
        <is>
          <t>√</t>
        </is>
      </c>
      <c r="U33" s="42" t="n"/>
      <c r="V33" s="42" t="n"/>
      <c r="W33" s="51" t="inlineStr">
        <is>
          <t>√</t>
        </is>
      </c>
      <c r="X33" s="51" t="inlineStr">
        <is>
          <t>√</t>
        </is>
      </c>
      <c r="Y33" s="51" t="inlineStr">
        <is>
          <t>√</t>
        </is>
      </c>
      <c r="Z33" s="51" t="inlineStr">
        <is>
          <t>√</t>
        </is>
      </c>
      <c r="AA33" s="51" t="inlineStr">
        <is>
          <t>√</t>
        </is>
      </c>
      <c r="AB33" s="42" t="n"/>
      <c r="AC33" s="42" t="n"/>
      <c r="AD33" s="51" t="inlineStr">
        <is>
          <t>√</t>
        </is>
      </c>
      <c r="AE33" s="51" t="inlineStr">
        <is>
          <t>√</t>
        </is>
      </c>
      <c r="AF33" s="51" t="inlineStr">
        <is>
          <t>√</t>
        </is>
      </c>
      <c r="AG33" s="51" t="inlineStr">
        <is>
          <t>√</t>
        </is>
      </c>
      <c r="AH33" s="51" t="inlineStr">
        <is>
          <t>√</t>
        </is>
      </c>
      <c r="AI33" s="42" t="n"/>
      <c r="AJ33" s="50" t="n"/>
      <c r="AK33" s="15">
        <f>COUNTIF(E33:AI33,"√")</f>
        <v/>
      </c>
      <c r="AL33" s="15">
        <f>COUNTIF(E33:AI33,"●")</f>
        <v/>
      </c>
      <c r="AM33" s="15">
        <f>COUNTIF(E33:AI33,"◎")</f>
        <v/>
      </c>
      <c r="AN33" s="15">
        <f>COUNTIF(E33:AI33,"○")</f>
        <v/>
      </c>
      <c r="AO33" s="15">
        <f>COUNTIF(E33:AI33,"☆")</f>
        <v/>
      </c>
      <c r="AP33" s="15">
        <f>COUNTIF(E33:AI33,"※")</f>
        <v/>
      </c>
      <c r="AQ33" s="15">
        <f>COUNTIF(E33:AI33,"◇")</f>
        <v/>
      </c>
      <c r="AR33" s="15">
        <f>COUNTIF(E33:AI33,"×")</f>
        <v/>
      </c>
      <c r="AS33" s="15">
        <f>COUNTIF(E33:AI33,"△")</f>
        <v/>
      </c>
      <c r="AT33" s="15">
        <f>COUNTIF(E33:AI33,"÷")</f>
        <v/>
      </c>
      <c r="AU33" s="15">
        <f>COUNTIF(E33:AI33,"＃")</f>
        <v/>
      </c>
      <c r="AV33" s="15">
        <f>COUNTIF(E33:AI33,"¤")</f>
        <v/>
      </c>
      <c r="AW33" s="15">
        <f>COUNTIF(E33:AI33,"Ω")</f>
        <v/>
      </c>
      <c r="AX33" s="15">
        <f>COUNTIF(E33:AI33,"▽")</f>
        <v/>
      </c>
      <c r="AY33" s="15">
        <f>COUNTIF(E33:AI33,"👶")</f>
        <v/>
      </c>
    </row>
    <row r="34" s="45">
      <c r="A34" s="44" t="inlineStr">
        <is>
          <t xml:space="preserve">注：√出勤  ●休假 ○事假 ☆病假 ※迟到 ◇早退 ×旷工 △出差 ◎补未打卡说明  ÷年休  ＃加班调/补休 ？待查  ¤护理假  Ω婚假  ▽丧假  ＋产 假 </t>
        </is>
      </c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48" t="n"/>
    </row>
    <row r="35" s="45">
      <c r="B35" s="16" t="inlineStr">
        <is>
          <t>制表：员工O</t>
        </is>
      </c>
      <c r="E35" s="19" t="n"/>
      <c r="F35" s="19" t="n"/>
      <c r="L35" s="15" t="inlineStr">
        <is>
          <t>审核：</t>
        </is>
      </c>
      <c r="AG35" s="19" t="n"/>
      <c r="AH35" s="19" t="n"/>
      <c r="AI35" s="19" t="n"/>
    </row>
  </sheetData>
  <mergeCells count="73">
    <mergeCell ref="A24:A25"/>
    <mergeCell ref="B12:B13"/>
    <mergeCell ref="C4:C5"/>
    <mergeCell ref="AJ8:AJ9"/>
    <mergeCell ref="B18:B19"/>
    <mergeCell ref="AJ14:AJ15"/>
    <mergeCell ref="AN4:AN5"/>
    <mergeCell ref="B8:B9"/>
    <mergeCell ref="AW4:AW5"/>
    <mergeCell ref="A16:A17"/>
    <mergeCell ref="A1:B1"/>
    <mergeCell ref="AY4:AY5"/>
    <mergeCell ref="A6:A7"/>
    <mergeCell ref="B14:B15"/>
    <mergeCell ref="AJ10:AJ11"/>
    <mergeCell ref="B3:AJ3"/>
    <mergeCell ref="D32:D33"/>
    <mergeCell ref="A12:A13"/>
    <mergeCell ref="E1:F1"/>
    <mergeCell ref="A26:A27"/>
    <mergeCell ref="AR4:AR5"/>
    <mergeCell ref="AT4:AT5"/>
    <mergeCell ref="D16:D17"/>
    <mergeCell ref="AQ4:AQ5"/>
    <mergeCell ref="AM4:AM5"/>
    <mergeCell ref="B10:B11"/>
    <mergeCell ref="B28:B29"/>
    <mergeCell ref="A18:A19"/>
    <mergeCell ref="B2:AJ2"/>
    <mergeCell ref="B6:B7"/>
    <mergeCell ref="A14:A15"/>
    <mergeCell ref="B24:B25"/>
    <mergeCell ref="D24:D25"/>
    <mergeCell ref="AJ6:AJ7"/>
    <mergeCell ref="AJ18:AJ19"/>
    <mergeCell ref="A32:A33"/>
    <mergeCell ref="A8:A9"/>
    <mergeCell ref="A22:A23"/>
    <mergeCell ref="D18:D19"/>
    <mergeCell ref="AO4:AO5"/>
    <mergeCell ref="A4:A5"/>
    <mergeCell ref="AJ24:AJ25"/>
    <mergeCell ref="AJ30:AJ31"/>
    <mergeCell ref="A20:A21"/>
    <mergeCell ref="AU4:AU5"/>
    <mergeCell ref="B20:B21"/>
    <mergeCell ref="AJ20:AJ21"/>
    <mergeCell ref="A10:A11"/>
    <mergeCell ref="AL4:AL5"/>
    <mergeCell ref="AJ16:AJ17"/>
    <mergeCell ref="I1:J1"/>
    <mergeCell ref="B30:B31"/>
    <mergeCell ref="AJ32:AJ33"/>
    <mergeCell ref="AJ26:AJ27"/>
    <mergeCell ref="D30:D31"/>
    <mergeCell ref="AJ12:AJ13"/>
    <mergeCell ref="B32:B33"/>
    <mergeCell ref="B4:B5"/>
    <mergeCell ref="A28:A29"/>
    <mergeCell ref="B22:B23"/>
    <mergeCell ref="D26:D27"/>
    <mergeCell ref="AJ28:AJ29"/>
    <mergeCell ref="A34:AJ34"/>
    <mergeCell ref="AP4:AP5"/>
    <mergeCell ref="AV4:AV5"/>
    <mergeCell ref="AX4:AX5"/>
    <mergeCell ref="AS4:AS5"/>
    <mergeCell ref="B16:B17"/>
    <mergeCell ref="AK4:AK5"/>
    <mergeCell ref="B26:B27"/>
    <mergeCell ref="AJ22:AJ23"/>
    <mergeCell ref="A30:A31"/>
    <mergeCell ref="D22:D23"/>
  </mergeCells>
  <conditionalFormatting sqref="I6:K6">
    <cfRule type="expression" priority="230" dxfId="0">
      <formula>WEEKDAY(I$5,2)&gt;5</formula>
    </cfRule>
  </conditionalFormatting>
  <conditionalFormatting sqref="L6:M6">
    <cfRule type="expression" priority="228" dxfId="0">
      <formula>WEEKDAY(L$5,2)&gt;5</formula>
    </cfRule>
  </conditionalFormatting>
  <conditionalFormatting sqref="P6:R6">
    <cfRule type="expression" priority="226" dxfId="0">
      <formula>WEEKDAY(P$5,2)&gt;5</formula>
    </cfRule>
  </conditionalFormatting>
  <conditionalFormatting sqref="S6:T6">
    <cfRule type="expression" priority="224" dxfId="0">
      <formula>WEEKDAY(S$5,2)&gt;5</formula>
    </cfRule>
  </conditionalFormatting>
  <conditionalFormatting sqref="U6:V6">
    <cfRule type="expression" priority="513" dxfId="0">
      <formula>WEEKDAY(U$5,2)&gt;5</formula>
    </cfRule>
  </conditionalFormatting>
  <conditionalFormatting sqref="W6:Y6">
    <cfRule type="expression" priority="222" dxfId="0">
      <formula>WEEKDAY(W$5,2)&gt;5</formula>
    </cfRule>
  </conditionalFormatting>
  <conditionalFormatting sqref="Z6:AA6">
    <cfRule type="expression" priority="220" dxfId="0">
      <formula>WEEKDAY(Z$5,2)&gt;5</formula>
    </cfRule>
  </conditionalFormatting>
  <conditionalFormatting sqref="AB6:AC6">
    <cfRule type="expression" priority="510" dxfId="0">
      <formula>WEEKDAY(AB$5,2)&gt;5</formula>
    </cfRule>
  </conditionalFormatting>
  <conditionalFormatting sqref="AD6:AF6">
    <cfRule type="expression" priority="218" dxfId="0">
      <formula>WEEKDAY(AD$5,2)&gt;5</formula>
    </cfRule>
  </conditionalFormatting>
  <conditionalFormatting sqref="AG6:AH6">
    <cfRule type="expression" priority="216" dxfId="0">
      <formula>WEEKDAY(AG$5,2)&gt;5</formula>
    </cfRule>
  </conditionalFormatting>
  <conditionalFormatting sqref="I7:K7">
    <cfRule type="expression" priority="229" dxfId="0">
      <formula>WEEKDAY(I$5,2)&gt;5</formula>
    </cfRule>
  </conditionalFormatting>
  <conditionalFormatting sqref="L7:M7">
    <cfRule type="expression" priority="227" dxfId="0">
      <formula>WEEKDAY(L$5,2)&gt;5</formula>
    </cfRule>
  </conditionalFormatting>
  <conditionalFormatting sqref="P7:R7">
    <cfRule type="expression" priority="225" dxfId="0">
      <formula>WEEKDAY(P$5,2)&gt;5</formula>
    </cfRule>
  </conditionalFormatting>
  <conditionalFormatting sqref="S7:T7">
    <cfRule type="expression" priority="223" dxfId="0">
      <formula>WEEKDAY(S$5,2)&gt;5</formula>
    </cfRule>
  </conditionalFormatting>
  <conditionalFormatting sqref="U7:V7">
    <cfRule type="expression" priority="512" dxfId="0">
      <formula>WEEKDAY(U$5,2)&gt;5</formula>
    </cfRule>
  </conditionalFormatting>
  <conditionalFormatting sqref="W7:Y7">
    <cfRule type="expression" priority="221" dxfId="0">
      <formula>WEEKDAY(W$5,2)&gt;5</formula>
    </cfRule>
  </conditionalFormatting>
  <conditionalFormatting sqref="Z7:AA7">
    <cfRule type="expression" priority="219" dxfId="0">
      <formula>WEEKDAY(Z$5,2)&gt;5</formula>
    </cfRule>
  </conditionalFormatting>
  <conditionalFormatting sqref="AB7:AC7">
    <cfRule type="expression" priority="509" dxfId="0">
      <formula>WEEKDAY(AB$5,2)&gt;5</formula>
    </cfRule>
  </conditionalFormatting>
  <conditionalFormatting sqref="AD7:AF7">
    <cfRule type="expression" priority="217" dxfId="0">
      <formula>WEEKDAY(AD$5,2)&gt;5</formula>
    </cfRule>
  </conditionalFormatting>
  <conditionalFormatting sqref="AG7:AH7">
    <cfRule type="expression" priority="215" dxfId="0">
      <formula>WEEKDAY(AG$5,2)&gt;5</formula>
    </cfRule>
  </conditionalFormatting>
  <conditionalFormatting sqref="I8:K8">
    <cfRule type="expression" priority="214" dxfId="0">
      <formula>WEEKDAY(I$5,2)&gt;5</formula>
    </cfRule>
  </conditionalFormatting>
  <conditionalFormatting sqref="L8:M8">
    <cfRule type="expression" priority="212" dxfId="0">
      <formula>WEEKDAY(L$5,2)&gt;5</formula>
    </cfRule>
  </conditionalFormatting>
  <conditionalFormatting sqref="P8:R8">
    <cfRule type="expression" priority="210" dxfId="0">
      <formula>WEEKDAY(P$5,2)&gt;5</formula>
    </cfRule>
  </conditionalFormatting>
  <conditionalFormatting sqref="S8:T8">
    <cfRule type="expression" priority="208" dxfId="0">
      <formula>WEEKDAY(S$5,2)&gt;5</formula>
    </cfRule>
  </conditionalFormatting>
  <conditionalFormatting sqref="W8:Y8">
    <cfRule type="expression" priority="206" dxfId="0">
      <formula>WEEKDAY(W$5,2)&gt;5</formula>
    </cfRule>
  </conditionalFormatting>
  <conditionalFormatting sqref="Z8:AA8">
    <cfRule type="expression" priority="204" dxfId="0">
      <formula>WEEKDAY(Z$5,2)&gt;5</formula>
    </cfRule>
  </conditionalFormatting>
  <conditionalFormatting sqref="AD8:AF8">
    <cfRule type="expression" priority="202" dxfId="0">
      <formula>WEEKDAY(AD$5,2)&gt;5</formula>
    </cfRule>
  </conditionalFormatting>
  <conditionalFormatting sqref="AG8:AH8">
    <cfRule type="expression" priority="200" dxfId="0">
      <formula>WEEKDAY(AG$5,2)&gt;5</formula>
    </cfRule>
  </conditionalFormatting>
  <conditionalFormatting sqref="I9:K9">
    <cfRule type="expression" priority="213" dxfId="0">
      <formula>WEEKDAY(I$5,2)&gt;5</formula>
    </cfRule>
  </conditionalFormatting>
  <conditionalFormatting sqref="L9:M9">
    <cfRule type="expression" priority="211" dxfId="0">
      <formula>WEEKDAY(L$5,2)&gt;5</formula>
    </cfRule>
  </conditionalFormatting>
  <conditionalFormatting sqref="P9:R9">
    <cfRule type="expression" priority="209" dxfId="0">
      <formula>WEEKDAY(P$5,2)&gt;5</formula>
    </cfRule>
  </conditionalFormatting>
  <conditionalFormatting sqref="S9:T9">
    <cfRule type="expression" priority="207" dxfId="0">
      <formula>WEEKDAY(S$5,2)&gt;5</formula>
    </cfRule>
  </conditionalFormatting>
  <conditionalFormatting sqref="W9:Y9">
    <cfRule type="expression" priority="205" dxfId="0">
      <formula>WEEKDAY(W$5,2)&gt;5</formula>
    </cfRule>
  </conditionalFormatting>
  <conditionalFormatting sqref="Z9:AA9">
    <cfRule type="expression" priority="203" dxfId="0">
      <formula>WEEKDAY(Z$5,2)&gt;5</formula>
    </cfRule>
  </conditionalFormatting>
  <conditionalFormatting sqref="AD9:AF9">
    <cfRule type="expression" priority="201" dxfId="0">
      <formula>WEEKDAY(AD$5,2)&gt;5</formula>
    </cfRule>
  </conditionalFormatting>
  <conditionalFormatting sqref="AG9:AH9">
    <cfRule type="expression" priority="199" dxfId="0">
      <formula>WEEKDAY(AG$5,2)&gt;5</formula>
    </cfRule>
  </conditionalFormatting>
  <conditionalFormatting sqref="I10:K10">
    <cfRule type="expression" priority="198" dxfId="0">
      <formula>WEEKDAY(I$5,2)&gt;5</formula>
    </cfRule>
  </conditionalFormatting>
  <conditionalFormatting sqref="L10:M10">
    <cfRule type="expression" priority="196" dxfId="0">
      <formula>WEEKDAY(L$5,2)&gt;5</formula>
    </cfRule>
  </conditionalFormatting>
  <conditionalFormatting sqref="P10:R10">
    <cfRule type="expression" priority="194" dxfId="0">
      <formula>WEEKDAY(P$5,2)&gt;5</formula>
    </cfRule>
  </conditionalFormatting>
  <conditionalFormatting sqref="S10:T10">
    <cfRule type="expression" priority="192" dxfId="0">
      <formula>WEEKDAY(S$5,2)&gt;5</formula>
    </cfRule>
  </conditionalFormatting>
  <conditionalFormatting sqref="W10:Y10">
    <cfRule type="expression" priority="190" dxfId="0">
      <formula>WEEKDAY(W$5,2)&gt;5</formula>
    </cfRule>
  </conditionalFormatting>
  <conditionalFormatting sqref="Z10:AA10">
    <cfRule type="expression" priority="188" dxfId="0">
      <formula>WEEKDAY(Z$5,2)&gt;5</formula>
    </cfRule>
  </conditionalFormatting>
  <conditionalFormatting sqref="AD10:AF10">
    <cfRule type="expression" priority="186" dxfId="0">
      <formula>WEEKDAY(AD$5,2)&gt;5</formula>
    </cfRule>
  </conditionalFormatting>
  <conditionalFormatting sqref="AG10:AH10">
    <cfRule type="expression" priority="184" dxfId="0">
      <formula>WEEKDAY(AG$5,2)&gt;5</formula>
    </cfRule>
  </conditionalFormatting>
  <conditionalFormatting sqref="AI10">
    <cfRule type="expression" priority="503" dxfId="0">
      <formula>WEEKDAY(AI$5,2)&gt;5</formula>
    </cfRule>
  </conditionalFormatting>
  <conditionalFormatting sqref="E11:H11">
    <cfRule type="expression" priority="507" dxfId="0">
      <formula>WEEKDAY(E$5,2)&gt;5</formula>
    </cfRule>
  </conditionalFormatting>
  <conditionalFormatting sqref="I11:K11">
    <cfRule type="expression" priority="197" dxfId="0">
      <formula>WEEKDAY(I$5,2)&gt;5</formula>
    </cfRule>
  </conditionalFormatting>
  <conditionalFormatting sqref="L11:M11">
    <cfRule type="expression" priority="195" dxfId="0">
      <formula>WEEKDAY(L$5,2)&gt;5</formula>
    </cfRule>
  </conditionalFormatting>
  <conditionalFormatting sqref="P11:R11">
    <cfRule type="expression" priority="193" dxfId="0">
      <formula>WEEKDAY(P$5,2)&gt;5</formula>
    </cfRule>
  </conditionalFormatting>
  <conditionalFormatting sqref="S11:T11">
    <cfRule type="expression" priority="191" dxfId="0">
      <formula>WEEKDAY(S$5,2)&gt;5</formula>
    </cfRule>
  </conditionalFormatting>
  <conditionalFormatting sqref="W11:Y11">
    <cfRule type="expression" priority="189" dxfId="0">
      <formula>WEEKDAY(W$5,2)&gt;5</formula>
    </cfRule>
  </conditionalFormatting>
  <conditionalFormatting sqref="Z11:AA11">
    <cfRule type="expression" priority="187" dxfId="0">
      <formula>WEEKDAY(Z$5,2)&gt;5</formula>
    </cfRule>
  </conditionalFormatting>
  <conditionalFormatting sqref="AD11:AF11">
    <cfRule type="expression" priority="185" dxfId="0">
      <formula>WEEKDAY(AD$5,2)&gt;5</formula>
    </cfRule>
  </conditionalFormatting>
  <conditionalFormatting sqref="AG11:AH11">
    <cfRule type="expression" priority="183" dxfId="0">
      <formula>WEEKDAY(AG$5,2)&gt;5</formula>
    </cfRule>
  </conditionalFormatting>
  <conditionalFormatting sqref="AI11">
    <cfRule type="expression" priority="501" dxfId="0">
      <formula>WEEKDAY(AI$5,2)&gt;5</formula>
    </cfRule>
  </conditionalFormatting>
  <conditionalFormatting sqref="I12:K12">
    <cfRule type="expression" priority="182" dxfId="0">
      <formula>WEEKDAY(I$5,2)&gt;5</formula>
    </cfRule>
  </conditionalFormatting>
  <conditionalFormatting sqref="L12:M12">
    <cfRule type="expression" priority="180" dxfId="0">
      <formula>WEEKDAY(L$5,2)&gt;5</formula>
    </cfRule>
  </conditionalFormatting>
  <conditionalFormatting sqref="P12:R12">
    <cfRule type="expression" priority="178" dxfId="0">
      <formula>WEEKDAY(P$5,2)&gt;5</formula>
    </cfRule>
  </conditionalFormatting>
  <conditionalFormatting sqref="S12:T12">
    <cfRule type="expression" priority="176" dxfId="0">
      <formula>WEEKDAY(S$5,2)&gt;5</formula>
    </cfRule>
  </conditionalFormatting>
  <conditionalFormatting sqref="W12:Y12">
    <cfRule type="expression" priority="174" dxfId="0">
      <formula>WEEKDAY(W$5,2)&gt;5</formula>
    </cfRule>
  </conditionalFormatting>
  <conditionalFormatting sqref="Z12:AA12">
    <cfRule type="expression" priority="172" dxfId="0">
      <formula>WEEKDAY(Z$5,2)&gt;5</formula>
    </cfRule>
  </conditionalFormatting>
  <conditionalFormatting sqref="AD12:AF12">
    <cfRule type="expression" priority="170" dxfId="0">
      <formula>WEEKDAY(AD$5,2)&gt;5</formula>
    </cfRule>
  </conditionalFormatting>
  <conditionalFormatting sqref="AG12:AH12">
    <cfRule type="expression" priority="168" dxfId="0">
      <formula>WEEKDAY(AG$5,2)&gt;5</formula>
    </cfRule>
  </conditionalFormatting>
  <conditionalFormatting sqref="I13:K13">
    <cfRule type="expression" priority="181" dxfId="0">
      <formula>WEEKDAY(I$5,2)&gt;5</formula>
    </cfRule>
  </conditionalFormatting>
  <conditionalFormatting sqref="L13:M13">
    <cfRule type="expression" priority="179" dxfId="0">
      <formula>WEEKDAY(L$5,2)&gt;5</formula>
    </cfRule>
  </conditionalFormatting>
  <conditionalFormatting sqref="P13:R13">
    <cfRule type="expression" priority="177" dxfId="0">
      <formula>WEEKDAY(P$5,2)&gt;5</formula>
    </cfRule>
  </conditionalFormatting>
  <conditionalFormatting sqref="S13:T13">
    <cfRule type="expression" priority="175" dxfId="0">
      <formula>WEEKDAY(S$5,2)&gt;5</formula>
    </cfRule>
  </conditionalFormatting>
  <conditionalFormatting sqref="W13:Y13">
    <cfRule type="expression" priority="173" dxfId="0">
      <formula>WEEKDAY(W$5,2)&gt;5</formula>
    </cfRule>
  </conditionalFormatting>
  <conditionalFormatting sqref="Z13:AA13">
    <cfRule type="expression" priority="171" dxfId="0">
      <formula>WEEKDAY(Z$5,2)&gt;5</formula>
    </cfRule>
  </conditionalFormatting>
  <conditionalFormatting sqref="AD13:AF13">
    <cfRule type="expression" priority="169" dxfId="0">
      <formula>WEEKDAY(AD$5,2)&gt;5</formula>
    </cfRule>
  </conditionalFormatting>
  <conditionalFormatting sqref="AG13:AH13">
    <cfRule type="expression" priority="167" dxfId="0">
      <formula>WEEKDAY(AG$5,2)&gt;5</formula>
    </cfRule>
  </conditionalFormatting>
  <conditionalFormatting sqref="I14:K14">
    <cfRule type="expression" priority="166" dxfId="0">
      <formula>WEEKDAY(I$5,2)&gt;5</formula>
    </cfRule>
  </conditionalFormatting>
  <conditionalFormatting sqref="L14:M14">
    <cfRule type="expression" priority="164" dxfId="0">
      <formula>WEEKDAY(L$5,2)&gt;5</formula>
    </cfRule>
  </conditionalFormatting>
  <conditionalFormatting sqref="P14:R14">
    <cfRule type="expression" priority="162" dxfId="0">
      <formula>WEEKDAY(P$5,2)&gt;5</formula>
    </cfRule>
  </conditionalFormatting>
  <conditionalFormatting sqref="S14:T14">
    <cfRule type="expression" priority="160" dxfId="0">
      <formula>WEEKDAY(S$5,2)&gt;5</formula>
    </cfRule>
  </conditionalFormatting>
  <conditionalFormatting sqref="W14:Y14">
    <cfRule type="expression" priority="158" dxfId="0">
      <formula>WEEKDAY(W$5,2)&gt;5</formula>
    </cfRule>
  </conditionalFormatting>
  <conditionalFormatting sqref="Z14:AA14">
    <cfRule type="expression" priority="156" dxfId="0">
      <formula>WEEKDAY(Z$5,2)&gt;5</formula>
    </cfRule>
  </conditionalFormatting>
  <conditionalFormatting sqref="AD14:AF14">
    <cfRule type="expression" priority="154" dxfId="0">
      <formula>WEEKDAY(AD$5,2)&gt;5</formula>
    </cfRule>
  </conditionalFormatting>
  <conditionalFormatting sqref="AG14:AH14">
    <cfRule type="expression" priority="152" dxfId="0">
      <formula>WEEKDAY(AG$5,2)&gt;5</formula>
    </cfRule>
  </conditionalFormatting>
  <conditionalFormatting sqref="I15:K15">
    <cfRule type="expression" priority="165" dxfId="0">
      <formula>WEEKDAY(I$5,2)&gt;5</formula>
    </cfRule>
  </conditionalFormatting>
  <conditionalFormatting sqref="L15:M15">
    <cfRule type="expression" priority="163" dxfId="0">
      <formula>WEEKDAY(L$5,2)&gt;5</formula>
    </cfRule>
  </conditionalFormatting>
  <conditionalFormatting sqref="P15:R15">
    <cfRule type="expression" priority="161" dxfId="0">
      <formula>WEEKDAY(P$5,2)&gt;5</formula>
    </cfRule>
  </conditionalFormatting>
  <conditionalFormatting sqref="S15:T15">
    <cfRule type="expression" priority="159" dxfId="0">
      <formula>WEEKDAY(S$5,2)&gt;5</formula>
    </cfRule>
  </conditionalFormatting>
  <conditionalFormatting sqref="W15:Y15">
    <cfRule type="expression" priority="157" dxfId="0">
      <formula>WEEKDAY(W$5,2)&gt;5</formula>
    </cfRule>
  </conditionalFormatting>
  <conditionalFormatting sqref="Z15:AA15">
    <cfRule type="expression" priority="155" dxfId="0">
      <formula>WEEKDAY(Z$5,2)&gt;5</formula>
    </cfRule>
  </conditionalFormatting>
  <conditionalFormatting sqref="AD15:AF15">
    <cfRule type="expression" priority="153" dxfId="0">
      <formula>WEEKDAY(AD$5,2)&gt;5</formula>
    </cfRule>
  </conditionalFormatting>
  <conditionalFormatting sqref="AG15:AH15">
    <cfRule type="expression" priority="151" dxfId="0">
      <formula>WEEKDAY(AG$5,2)&gt;5</formula>
    </cfRule>
  </conditionalFormatting>
  <conditionalFormatting sqref="E16">
    <cfRule type="expression" priority="816" dxfId="0">
      <formula>WEEKDAY(E$5,2)&gt;5</formula>
    </cfRule>
  </conditionalFormatting>
  <conditionalFormatting sqref="F16:H16">
    <cfRule type="expression" priority="494" dxfId="0">
      <formula>WEEKDAY(F$5,2)&gt;5</formula>
    </cfRule>
  </conditionalFormatting>
  <conditionalFormatting sqref="I16:K16">
    <cfRule type="expression" priority="150" dxfId="0">
      <formula>WEEKDAY(I$5,2)&gt;5</formula>
    </cfRule>
  </conditionalFormatting>
  <conditionalFormatting sqref="L16:M16">
    <cfRule type="expression" priority="148" dxfId="0">
      <formula>WEEKDAY(L$5,2)&gt;5</formula>
    </cfRule>
  </conditionalFormatting>
  <conditionalFormatting sqref="P16:R16">
    <cfRule type="expression" priority="146" dxfId="0">
      <formula>WEEKDAY(P$5,2)&gt;5</formula>
    </cfRule>
  </conditionalFormatting>
  <conditionalFormatting sqref="S16:T16">
    <cfRule type="expression" priority="144" dxfId="0">
      <formula>WEEKDAY(S$5,2)&gt;5</formula>
    </cfRule>
  </conditionalFormatting>
  <conditionalFormatting sqref="W16:Y16">
    <cfRule type="expression" priority="142" dxfId="0">
      <formula>WEEKDAY(W$5,2)&gt;5</formula>
    </cfRule>
  </conditionalFormatting>
  <conditionalFormatting sqref="Z16:AA16">
    <cfRule type="expression" priority="140" dxfId="0">
      <formula>WEEKDAY(Z$5,2)&gt;5</formula>
    </cfRule>
  </conditionalFormatting>
  <conditionalFormatting sqref="AD16:AF16">
    <cfRule type="expression" priority="138" dxfId="0">
      <formula>WEEKDAY(AD$5,2)&gt;5</formula>
    </cfRule>
  </conditionalFormatting>
  <conditionalFormatting sqref="AG16:AH16">
    <cfRule type="expression" priority="136" dxfId="0">
      <formula>WEEKDAY(AG$5,2)&gt;5</formula>
    </cfRule>
  </conditionalFormatting>
  <conditionalFormatting sqref="E17:H17">
    <cfRule type="expression" priority="493" dxfId="0">
      <formula>WEEKDAY(E$5,2)&gt;5</formula>
    </cfRule>
  </conditionalFormatting>
  <conditionalFormatting sqref="I17:K17">
    <cfRule type="expression" priority="149" dxfId="0">
      <formula>WEEKDAY(I$5,2)&gt;5</formula>
    </cfRule>
  </conditionalFormatting>
  <conditionalFormatting sqref="L17:M17">
    <cfRule type="expression" priority="147" dxfId="0">
      <formula>WEEKDAY(L$5,2)&gt;5</formula>
    </cfRule>
  </conditionalFormatting>
  <conditionalFormatting sqref="P17:R17">
    <cfRule type="expression" priority="145" dxfId="0">
      <formula>WEEKDAY(P$5,2)&gt;5</formula>
    </cfRule>
  </conditionalFormatting>
  <conditionalFormatting sqref="S17:T17">
    <cfRule type="expression" priority="143" dxfId="0">
      <formula>WEEKDAY(S$5,2)&gt;5</formula>
    </cfRule>
  </conditionalFormatting>
  <conditionalFormatting sqref="W17:Y17">
    <cfRule type="expression" priority="141" dxfId="0">
      <formula>WEEKDAY(W$5,2)&gt;5</formula>
    </cfRule>
  </conditionalFormatting>
  <conditionalFormatting sqref="Z17:AA17">
    <cfRule type="expression" priority="139" dxfId="0">
      <formula>WEEKDAY(Z$5,2)&gt;5</formula>
    </cfRule>
  </conditionalFormatting>
  <conditionalFormatting sqref="AD17:AF17">
    <cfRule type="expression" priority="137" dxfId="0">
      <formula>WEEKDAY(AD$5,2)&gt;5</formula>
    </cfRule>
  </conditionalFormatting>
  <conditionalFormatting sqref="AG17:AH17">
    <cfRule type="expression" priority="135" dxfId="0">
      <formula>WEEKDAY(AG$5,2)&gt;5</formula>
    </cfRule>
  </conditionalFormatting>
  <conditionalFormatting sqref="J18:K18">
    <cfRule type="expression" priority="134" dxfId="0">
      <formula>WEEKDAY(J$5,2)&gt;5</formula>
    </cfRule>
  </conditionalFormatting>
  <conditionalFormatting sqref="L18:M18">
    <cfRule type="expression" priority="132" dxfId="0">
      <formula>WEEKDAY(L$5,2)&gt;5</formula>
    </cfRule>
  </conditionalFormatting>
  <conditionalFormatting sqref="P18:Q18">
    <cfRule type="expression" priority="130" dxfId="0">
      <formula>WEEKDAY(P$5,2)&gt;5</formula>
    </cfRule>
  </conditionalFormatting>
  <conditionalFormatting sqref="R18:S18">
    <cfRule type="expression" priority="128" dxfId="0">
      <formula>WEEKDAY(R$5,2)&gt;5</formula>
    </cfRule>
  </conditionalFormatting>
  <conditionalFormatting sqref="W18:Y18">
    <cfRule type="expression" priority="125" dxfId="0">
      <formula>WEEKDAY(W$5,2)&gt;5</formula>
    </cfRule>
  </conditionalFormatting>
  <conditionalFormatting sqref="Z18:AA18">
    <cfRule type="expression" priority="123" dxfId="0">
      <formula>WEEKDAY(Z$5,2)&gt;5</formula>
    </cfRule>
  </conditionalFormatting>
  <conditionalFormatting sqref="AD18:AF18">
    <cfRule type="expression" priority="121" dxfId="0">
      <formula>WEEKDAY(AD$5,2)&gt;5</formula>
    </cfRule>
  </conditionalFormatting>
  <conditionalFormatting sqref="AG18:AH18">
    <cfRule type="expression" priority="119" dxfId="0">
      <formula>WEEKDAY(AG$5,2)&gt;5</formula>
    </cfRule>
  </conditionalFormatting>
  <conditionalFormatting sqref="J19:K19">
    <cfRule type="expression" priority="133" dxfId="0">
      <formula>WEEKDAY(J$5,2)&gt;5</formula>
    </cfRule>
  </conditionalFormatting>
  <conditionalFormatting sqref="L19:M19">
    <cfRule type="expression" priority="131" dxfId="0">
      <formula>WEEKDAY(L$5,2)&gt;5</formula>
    </cfRule>
  </conditionalFormatting>
  <conditionalFormatting sqref="P19:Q19">
    <cfRule type="expression" priority="129" dxfId="0">
      <formula>WEEKDAY(P$5,2)&gt;5</formula>
    </cfRule>
  </conditionalFormatting>
  <conditionalFormatting sqref="R19:S19">
    <cfRule type="expression" priority="127" dxfId="0">
      <formula>WEEKDAY(R$5,2)&gt;5</formula>
    </cfRule>
  </conditionalFormatting>
  <conditionalFormatting sqref="W19:Y19">
    <cfRule type="expression" priority="124" dxfId="0">
      <formula>WEEKDAY(W$5,2)&gt;5</formula>
    </cfRule>
  </conditionalFormatting>
  <conditionalFormatting sqref="Z19:AA19">
    <cfRule type="expression" priority="122" dxfId="0">
      <formula>WEEKDAY(Z$5,2)&gt;5</formula>
    </cfRule>
  </conditionalFormatting>
  <conditionalFormatting sqref="AD19:AF19">
    <cfRule type="expression" priority="120" dxfId="0">
      <formula>WEEKDAY(AD$5,2)&gt;5</formula>
    </cfRule>
  </conditionalFormatting>
  <conditionalFormatting sqref="AG19:AH19">
    <cfRule type="expression" priority="118" dxfId="0">
      <formula>WEEKDAY(AG$5,2)&gt;5</formula>
    </cfRule>
  </conditionalFormatting>
  <conditionalFormatting sqref="D20">
    <cfRule type="expression" priority="759" dxfId="0">
      <formula>WEEKDAY(D$5,2)&gt;5</formula>
    </cfRule>
  </conditionalFormatting>
  <conditionalFormatting sqref="I20:K20">
    <cfRule type="expression" priority="117" dxfId="0">
      <formula>WEEKDAY(I$5,2)&gt;5</formula>
    </cfRule>
  </conditionalFormatting>
  <conditionalFormatting sqref="L20:M20">
    <cfRule type="expression" priority="115" dxfId="0">
      <formula>WEEKDAY(L$5,2)&gt;5</formula>
    </cfRule>
  </conditionalFormatting>
  <conditionalFormatting sqref="P20:R20">
    <cfRule type="expression" priority="113" dxfId="0">
      <formula>WEEKDAY(P$5,2)&gt;5</formula>
    </cfRule>
  </conditionalFormatting>
  <conditionalFormatting sqref="S20:T20">
    <cfRule type="expression" priority="111" dxfId="0">
      <formula>WEEKDAY(S$5,2)&gt;5</formula>
    </cfRule>
  </conditionalFormatting>
  <conditionalFormatting sqref="Z20:AA20">
    <cfRule type="expression" priority="107" dxfId="0">
      <formula>WEEKDAY(Z$5,2)&gt;5</formula>
    </cfRule>
  </conditionalFormatting>
  <conditionalFormatting sqref="AD20:AF20">
    <cfRule type="expression" priority="105" dxfId="0">
      <formula>WEEKDAY(AD$5,2)&gt;5</formula>
    </cfRule>
  </conditionalFormatting>
  <conditionalFormatting sqref="AG20:AH20">
    <cfRule type="expression" priority="103" dxfId="0">
      <formula>WEEKDAY(AG$5,2)&gt;5</formula>
    </cfRule>
  </conditionalFormatting>
  <conditionalFormatting sqref="D21">
    <cfRule type="expression" priority="762" dxfId="0">
      <formula>WEEKDAY(D$5,2)&gt;5</formula>
    </cfRule>
  </conditionalFormatting>
  <conditionalFormatting sqref="I21:K21">
    <cfRule type="expression" priority="116" dxfId="0">
      <formula>WEEKDAY(I$5,2)&gt;5</formula>
    </cfRule>
  </conditionalFormatting>
  <conditionalFormatting sqref="L21:M21">
    <cfRule type="expression" priority="114" dxfId="0">
      <formula>WEEKDAY(L$5,2)&gt;5</formula>
    </cfRule>
  </conditionalFormatting>
  <conditionalFormatting sqref="P21:R21">
    <cfRule type="expression" priority="112" dxfId="0">
      <formula>WEEKDAY(P$5,2)&gt;5</formula>
    </cfRule>
  </conditionalFormatting>
  <conditionalFormatting sqref="S21:T21">
    <cfRule type="expression" priority="110" dxfId="0">
      <formula>WEEKDAY(S$5,2)&gt;5</formula>
    </cfRule>
  </conditionalFormatting>
  <conditionalFormatting sqref="Z21:AA21">
    <cfRule type="expression" priority="106" dxfId="0">
      <formula>WEEKDAY(Z$5,2)&gt;5</formula>
    </cfRule>
  </conditionalFormatting>
  <conditionalFormatting sqref="AD21:AF21">
    <cfRule type="expression" priority="104" dxfId="0">
      <formula>WEEKDAY(AD$5,2)&gt;5</formula>
    </cfRule>
  </conditionalFormatting>
  <conditionalFormatting sqref="AG21:AH21">
    <cfRule type="expression" priority="102" dxfId="0">
      <formula>WEEKDAY(AG$5,2)&gt;5</formula>
    </cfRule>
  </conditionalFormatting>
  <conditionalFormatting sqref="I22:K22">
    <cfRule type="expression" priority="100" dxfId="0">
      <formula>WEEKDAY(I$5,2)&gt;5</formula>
    </cfRule>
  </conditionalFormatting>
  <conditionalFormatting sqref="L22:M22">
    <cfRule type="expression" priority="98" dxfId="0">
      <formula>WEEKDAY(L$5,2)&gt;5</formula>
    </cfRule>
  </conditionalFormatting>
  <conditionalFormatting sqref="P22:R22">
    <cfRule type="expression" priority="96" dxfId="0">
      <formula>WEEKDAY(P$5,2)&gt;5</formula>
    </cfRule>
  </conditionalFormatting>
  <conditionalFormatting sqref="S22:T22">
    <cfRule type="expression" priority="94" dxfId="0">
      <formula>WEEKDAY(S$5,2)&gt;5</formula>
    </cfRule>
  </conditionalFormatting>
  <conditionalFormatting sqref="W22:Y22">
    <cfRule type="expression" priority="92" dxfId="0">
      <formula>WEEKDAY(W$5,2)&gt;5</formula>
    </cfRule>
  </conditionalFormatting>
  <conditionalFormatting sqref="Z22:AA22">
    <cfRule type="expression" priority="90" dxfId="0">
      <formula>WEEKDAY(Z$5,2)&gt;5</formula>
    </cfRule>
  </conditionalFormatting>
  <conditionalFormatting sqref="AD22:AF22">
    <cfRule type="expression" priority="88" dxfId="0">
      <formula>WEEKDAY(AD$5,2)&gt;5</formula>
    </cfRule>
  </conditionalFormatting>
  <conditionalFormatting sqref="AG22:AH22">
    <cfRule type="expression" priority="86" dxfId="0">
      <formula>WEEKDAY(AG$5,2)&gt;5</formula>
    </cfRule>
  </conditionalFormatting>
  <conditionalFormatting sqref="I23:K23">
    <cfRule type="expression" priority="99" dxfId="0">
      <formula>WEEKDAY(I$5,2)&gt;5</formula>
    </cfRule>
  </conditionalFormatting>
  <conditionalFormatting sqref="L23:M23">
    <cfRule type="expression" priority="97" dxfId="0">
      <formula>WEEKDAY(L$5,2)&gt;5</formula>
    </cfRule>
  </conditionalFormatting>
  <conditionalFormatting sqref="P23:R23">
    <cfRule type="expression" priority="95" dxfId="0">
      <formula>WEEKDAY(P$5,2)&gt;5</formula>
    </cfRule>
  </conditionalFormatting>
  <conditionalFormatting sqref="S23:T23">
    <cfRule type="expression" priority="93" dxfId="0">
      <formula>WEEKDAY(S$5,2)&gt;5</formula>
    </cfRule>
  </conditionalFormatting>
  <conditionalFormatting sqref="W23:Y23">
    <cfRule type="expression" priority="91" dxfId="0">
      <formula>WEEKDAY(W$5,2)&gt;5</formula>
    </cfRule>
  </conditionalFormatting>
  <conditionalFormatting sqref="Z23:AA23">
    <cfRule type="expression" priority="89" dxfId="0">
      <formula>WEEKDAY(Z$5,2)&gt;5</formula>
    </cfRule>
  </conditionalFormatting>
  <conditionalFormatting sqref="AD23:AF23">
    <cfRule type="expression" priority="87" dxfId="0">
      <formula>WEEKDAY(AD$5,2)&gt;5</formula>
    </cfRule>
  </conditionalFormatting>
  <conditionalFormatting sqref="AG23:AH23">
    <cfRule type="expression" priority="85" dxfId="0">
      <formula>WEEKDAY(AG$5,2)&gt;5</formula>
    </cfRule>
  </conditionalFormatting>
  <conditionalFormatting sqref="E24">
    <cfRule type="expression" priority="813" dxfId="0">
      <formula>WEEKDAY(E$5,2)&gt;5</formula>
    </cfRule>
  </conditionalFormatting>
  <conditionalFormatting sqref="F24:H24">
    <cfRule type="expression" priority="359" dxfId="0">
      <formula>WEEKDAY(F$5,2)&gt;5</formula>
    </cfRule>
  </conditionalFormatting>
  <conditionalFormatting sqref="I24:K24">
    <cfRule type="expression" priority="84" dxfId="0">
      <formula>WEEKDAY(I$5,2)&gt;5</formula>
    </cfRule>
  </conditionalFormatting>
  <conditionalFormatting sqref="L24:M24">
    <cfRule type="expression" priority="82" dxfId="0">
      <formula>WEEKDAY(L$5,2)&gt;5</formula>
    </cfRule>
  </conditionalFormatting>
  <conditionalFormatting sqref="P24:R24">
    <cfRule type="expression" priority="80" dxfId="0">
      <formula>WEEKDAY(P$5,2)&gt;5</formula>
    </cfRule>
  </conditionalFormatting>
  <conditionalFormatting sqref="S24:T24">
    <cfRule type="expression" priority="78" dxfId="0">
      <formula>WEEKDAY(S$5,2)&gt;5</formula>
    </cfRule>
  </conditionalFormatting>
  <conditionalFormatting sqref="W24:Y24">
    <cfRule type="expression" priority="76" dxfId="0">
      <formula>WEEKDAY(W$5,2)&gt;5</formula>
    </cfRule>
  </conditionalFormatting>
  <conditionalFormatting sqref="Z24:AA24">
    <cfRule type="expression" priority="74" dxfId="0">
      <formula>WEEKDAY(Z$5,2)&gt;5</formula>
    </cfRule>
  </conditionalFormatting>
  <conditionalFormatting sqref="AD24:AF24">
    <cfRule type="expression" priority="72" dxfId="0">
      <formula>WEEKDAY(AD$5,2)&gt;5</formula>
    </cfRule>
  </conditionalFormatting>
  <conditionalFormatting sqref="AG24:AH24">
    <cfRule type="expression" priority="70" dxfId="0">
      <formula>WEEKDAY(AG$5,2)&gt;5</formula>
    </cfRule>
  </conditionalFormatting>
  <conditionalFormatting sqref="E25:H25">
    <cfRule type="expression" priority="358" dxfId="0">
      <formula>WEEKDAY(E$5,2)&gt;5</formula>
    </cfRule>
  </conditionalFormatting>
  <conditionalFormatting sqref="I25:K25">
    <cfRule type="expression" priority="83" dxfId="0">
      <formula>WEEKDAY(I$5,2)&gt;5</formula>
    </cfRule>
  </conditionalFormatting>
  <conditionalFormatting sqref="L25:M25">
    <cfRule type="expression" priority="81" dxfId="0">
      <formula>WEEKDAY(L$5,2)&gt;5</formula>
    </cfRule>
  </conditionalFormatting>
  <conditionalFormatting sqref="P25:R25">
    <cfRule type="expression" priority="79" dxfId="0">
      <formula>WEEKDAY(P$5,2)&gt;5</formula>
    </cfRule>
  </conditionalFormatting>
  <conditionalFormatting sqref="S25:T25">
    <cfRule type="expression" priority="77" dxfId="0">
      <formula>WEEKDAY(S$5,2)&gt;5</formula>
    </cfRule>
  </conditionalFormatting>
  <conditionalFormatting sqref="W25:Y25">
    <cfRule type="expression" priority="75" dxfId="0">
      <formula>WEEKDAY(W$5,2)&gt;5</formula>
    </cfRule>
  </conditionalFormatting>
  <conditionalFormatting sqref="Z25:AA25">
    <cfRule type="expression" priority="73" dxfId="0">
      <formula>WEEKDAY(Z$5,2)&gt;5</formula>
    </cfRule>
  </conditionalFormatting>
  <conditionalFormatting sqref="AD25:AF25">
    <cfRule type="expression" priority="71" dxfId="0">
      <formula>WEEKDAY(AD$5,2)&gt;5</formula>
    </cfRule>
  </conditionalFormatting>
  <conditionalFormatting sqref="AG25:AH25">
    <cfRule type="expression" priority="69" dxfId="0">
      <formula>WEEKDAY(AG$5,2)&gt;5</formula>
    </cfRule>
  </conditionalFormatting>
  <conditionalFormatting sqref="E26">
    <cfRule type="expression" priority="756" dxfId="0">
      <formula>WEEKDAY(E$5,2)&gt;5</formula>
    </cfRule>
  </conditionalFormatting>
  <conditionalFormatting sqref="F26:H26">
    <cfRule type="expression" priority="471" dxfId="0">
      <formula>WEEKDAY(F$5,2)&gt;5</formula>
    </cfRule>
  </conditionalFormatting>
  <conditionalFormatting sqref="I26:K26">
    <cfRule type="expression" priority="68" dxfId="0">
      <formula>WEEKDAY(I$5,2)&gt;5</formula>
    </cfRule>
  </conditionalFormatting>
  <conditionalFormatting sqref="L26:M26">
    <cfRule type="expression" priority="66" dxfId="0">
      <formula>WEEKDAY(L$5,2)&gt;5</formula>
    </cfRule>
  </conditionalFormatting>
  <conditionalFormatting sqref="P26:R26">
    <cfRule type="expression" priority="64" dxfId="0">
      <formula>WEEKDAY(P$5,2)&gt;5</formula>
    </cfRule>
  </conditionalFormatting>
  <conditionalFormatting sqref="S26:T26">
    <cfRule type="expression" priority="62" dxfId="0">
      <formula>WEEKDAY(S$5,2)&gt;5</formula>
    </cfRule>
  </conditionalFormatting>
  <conditionalFormatting sqref="W26:Y26">
    <cfRule type="expression" priority="60" dxfId="0">
      <formula>WEEKDAY(W$5,2)&gt;5</formula>
    </cfRule>
  </conditionalFormatting>
  <conditionalFormatting sqref="Z26:AA26">
    <cfRule type="expression" priority="58" dxfId="0">
      <formula>WEEKDAY(Z$5,2)&gt;5</formula>
    </cfRule>
  </conditionalFormatting>
  <conditionalFormatting sqref="AD26:AF26">
    <cfRule type="expression" priority="56" dxfId="0">
      <formula>WEEKDAY(AD$5,2)&gt;5</formula>
    </cfRule>
  </conditionalFormatting>
  <conditionalFormatting sqref="AG26:AH26">
    <cfRule type="expression" priority="54" dxfId="0">
      <formula>WEEKDAY(AG$5,2)&gt;5</formula>
    </cfRule>
  </conditionalFormatting>
  <conditionalFormatting sqref="E27:H27">
    <cfRule type="expression" priority="470" dxfId="0">
      <formula>WEEKDAY(E$5,2)&gt;5</formula>
    </cfRule>
  </conditionalFormatting>
  <conditionalFormatting sqref="I27:K27">
    <cfRule type="expression" priority="67" dxfId="0">
      <formula>WEEKDAY(I$5,2)&gt;5</formula>
    </cfRule>
  </conditionalFormatting>
  <conditionalFormatting sqref="L27:M27">
    <cfRule type="expression" priority="65" dxfId="0">
      <formula>WEEKDAY(L$5,2)&gt;5</formula>
    </cfRule>
  </conditionalFormatting>
  <conditionalFormatting sqref="P27:R27">
    <cfRule type="expression" priority="63" dxfId="0">
      <formula>WEEKDAY(P$5,2)&gt;5</formula>
    </cfRule>
  </conditionalFormatting>
  <conditionalFormatting sqref="S27:T27">
    <cfRule type="expression" priority="61" dxfId="0">
      <formula>WEEKDAY(S$5,2)&gt;5</formula>
    </cfRule>
  </conditionalFormatting>
  <conditionalFormatting sqref="W27:Y27">
    <cfRule type="expression" priority="59" dxfId="0">
      <formula>WEEKDAY(W$5,2)&gt;5</formula>
    </cfRule>
  </conditionalFormatting>
  <conditionalFormatting sqref="Z27:AA27">
    <cfRule type="expression" priority="57" dxfId="0">
      <formula>WEEKDAY(Z$5,2)&gt;5</formula>
    </cfRule>
  </conditionalFormatting>
  <conditionalFormatting sqref="AD27:AF27">
    <cfRule type="expression" priority="55" dxfId="0">
      <formula>WEEKDAY(AD$5,2)&gt;5</formula>
    </cfRule>
  </conditionalFormatting>
  <conditionalFormatting sqref="AG27:AH27">
    <cfRule type="expression" priority="53" dxfId="0">
      <formula>WEEKDAY(AG$5,2)&gt;5</formula>
    </cfRule>
  </conditionalFormatting>
  <conditionalFormatting sqref="I28:K28">
    <cfRule type="expression" priority="52" dxfId="0">
      <formula>WEEKDAY(I$5,2)&gt;5</formula>
    </cfRule>
  </conditionalFormatting>
  <conditionalFormatting sqref="L28:M28">
    <cfRule type="expression" priority="50" dxfId="0">
      <formula>WEEKDAY(L$5,2)&gt;5</formula>
    </cfRule>
  </conditionalFormatting>
  <conditionalFormatting sqref="P28:R28">
    <cfRule type="expression" priority="48" dxfId="0">
      <formula>WEEKDAY(P$5,2)&gt;5</formula>
    </cfRule>
  </conditionalFormatting>
  <conditionalFormatting sqref="S28:T28">
    <cfRule type="expression" priority="46" dxfId="0">
      <formula>WEEKDAY(S$5,2)&gt;5</formula>
    </cfRule>
  </conditionalFormatting>
  <conditionalFormatting sqref="W28:Y28">
    <cfRule type="expression" priority="44" dxfId="0">
      <formula>WEEKDAY(W$5,2)&gt;5</formula>
    </cfRule>
  </conditionalFormatting>
  <conditionalFormatting sqref="Z28:AA28">
    <cfRule type="expression" priority="42" dxfId="0">
      <formula>WEEKDAY(Z$5,2)&gt;5</formula>
    </cfRule>
  </conditionalFormatting>
  <conditionalFormatting sqref="AD28:AF28">
    <cfRule type="expression" priority="40" dxfId="0">
      <formula>WEEKDAY(AD$5,2)&gt;5</formula>
    </cfRule>
  </conditionalFormatting>
  <conditionalFormatting sqref="AG28:AH28">
    <cfRule type="expression" priority="38" dxfId="0">
      <formula>WEEKDAY(AG$5,2)&gt;5</formula>
    </cfRule>
  </conditionalFormatting>
  <conditionalFormatting sqref="I29:K29">
    <cfRule type="expression" priority="51" dxfId="0">
      <formula>WEEKDAY(I$5,2)&gt;5</formula>
    </cfRule>
  </conditionalFormatting>
  <conditionalFormatting sqref="L29:M29">
    <cfRule type="expression" priority="49" dxfId="0">
      <formula>WEEKDAY(L$5,2)&gt;5</formula>
    </cfRule>
  </conditionalFormatting>
  <conditionalFormatting sqref="P29:R29">
    <cfRule type="expression" priority="47" dxfId="0">
      <formula>WEEKDAY(P$5,2)&gt;5</formula>
    </cfRule>
  </conditionalFormatting>
  <conditionalFormatting sqref="S29:T29">
    <cfRule type="expression" priority="45" dxfId="0">
      <formula>WEEKDAY(S$5,2)&gt;5</formula>
    </cfRule>
  </conditionalFormatting>
  <conditionalFormatting sqref="W29:Y29">
    <cfRule type="expression" priority="43" dxfId="0">
      <formula>WEEKDAY(W$5,2)&gt;5</formula>
    </cfRule>
  </conditionalFormatting>
  <conditionalFormatting sqref="Z29:AA29">
    <cfRule type="expression" priority="41" dxfId="0">
      <formula>WEEKDAY(Z$5,2)&gt;5</formula>
    </cfRule>
  </conditionalFormatting>
  <conditionalFormatting sqref="AD29:AF29">
    <cfRule type="expression" priority="39" dxfId="0">
      <formula>WEEKDAY(AD$5,2)&gt;5</formula>
    </cfRule>
  </conditionalFormatting>
  <conditionalFormatting sqref="AG29:AH29">
    <cfRule type="expression" priority="37" dxfId="0">
      <formula>WEEKDAY(AG$5,2)&gt;5</formula>
    </cfRule>
  </conditionalFormatting>
  <conditionalFormatting sqref="E30">
    <cfRule type="expression" priority="753" dxfId="0">
      <formula>WEEKDAY(E$5,2)&gt;5</formula>
    </cfRule>
  </conditionalFormatting>
  <conditionalFormatting sqref="F30:H30">
    <cfRule type="expression" priority="459" dxfId="0">
      <formula>WEEKDAY(F$5,2)&gt;5</formula>
    </cfRule>
  </conditionalFormatting>
  <conditionalFormatting sqref="J30:K30">
    <cfRule type="expression" priority="36" dxfId="0">
      <formula>WEEKDAY(J$5,2)&gt;5</formula>
    </cfRule>
  </conditionalFormatting>
  <conditionalFormatting sqref="L30:M30">
    <cfRule type="expression" priority="34" dxfId="0">
      <formula>WEEKDAY(L$5,2)&gt;5</formula>
    </cfRule>
  </conditionalFormatting>
  <conditionalFormatting sqref="P30:R30">
    <cfRule type="expression" priority="28" dxfId="0">
      <formula>WEEKDAY(P$5,2)&gt;5</formula>
    </cfRule>
  </conditionalFormatting>
  <conditionalFormatting sqref="S30:T30">
    <cfRule type="expression" priority="26" dxfId="0">
      <formula>WEEKDAY(S$5,2)&gt;5</formula>
    </cfRule>
  </conditionalFormatting>
  <conditionalFormatting sqref="W30:Y30">
    <cfRule type="expression" priority="24" dxfId="0">
      <formula>WEEKDAY(W$5,2)&gt;5</formula>
    </cfRule>
  </conditionalFormatting>
  <conditionalFormatting sqref="Z30:AA30">
    <cfRule type="expression" priority="22" dxfId="0">
      <formula>WEEKDAY(Z$5,2)&gt;5</formula>
    </cfRule>
  </conditionalFormatting>
  <conditionalFormatting sqref="AD30:AF30">
    <cfRule type="expression" priority="20" dxfId="0">
      <formula>WEEKDAY(AD$5,2)&gt;5</formula>
    </cfRule>
  </conditionalFormatting>
  <conditionalFormatting sqref="AG30:AH30">
    <cfRule type="expression" priority="18" dxfId="0">
      <formula>WEEKDAY(AG$5,2)&gt;5</formula>
    </cfRule>
  </conditionalFormatting>
  <conditionalFormatting sqref="E31:H31">
    <cfRule type="expression" priority="458" dxfId="0">
      <formula>WEEKDAY(E$5,2)&gt;5</formula>
    </cfRule>
  </conditionalFormatting>
  <conditionalFormatting sqref="J31:K31">
    <cfRule type="expression" priority="35" dxfId="0">
      <formula>WEEKDAY(J$5,2)&gt;5</formula>
    </cfRule>
  </conditionalFormatting>
  <conditionalFormatting sqref="L31:M31">
    <cfRule type="expression" priority="33" dxfId="0">
      <formula>WEEKDAY(L$5,2)&gt;5</formula>
    </cfRule>
  </conditionalFormatting>
  <conditionalFormatting sqref="P31:R31">
    <cfRule type="expression" priority="27" dxfId="0">
      <formula>WEEKDAY(P$5,2)&gt;5</formula>
    </cfRule>
  </conditionalFormatting>
  <conditionalFormatting sqref="S31:T31">
    <cfRule type="expression" priority="25" dxfId="0">
      <formula>WEEKDAY(S$5,2)&gt;5</formula>
    </cfRule>
  </conditionalFormatting>
  <conditionalFormatting sqref="W31:Y31">
    <cfRule type="expression" priority="23" dxfId="0">
      <formula>WEEKDAY(W$5,2)&gt;5</formula>
    </cfRule>
  </conditionalFormatting>
  <conditionalFormatting sqref="Z31:AA31">
    <cfRule type="expression" priority="21" dxfId="0">
      <formula>WEEKDAY(Z$5,2)&gt;5</formula>
    </cfRule>
  </conditionalFormatting>
  <conditionalFormatting sqref="AD31:AF31">
    <cfRule type="expression" priority="19" dxfId="0">
      <formula>WEEKDAY(AD$5,2)&gt;5</formula>
    </cfRule>
  </conditionalFormatting>
  <conditionalFormatting sqref="AG31:AH31">
    <cfRule type="expression" priority="17" dxfId="0">
      <formula>WEEKDAY(AG$5,2)&gt;5</formula>
    </cfRule>
  </conditionalFormatting>
  <conditionalFormatting sqref="E32">
    <cfRule type="expression" priority="810" dxfId="0">
      <formula>WEEKDAY(E$5,2)&gt;5</formula>
    </cfRule>
  </conditionalFormatting>
  <conditionalFormatting sqref="F32:H32">
    <cfRule type="expression" priority="353" dxfId="0">
      <formula>WEEKDAY(F$5,2)&gt;5</formula>
    </cfRule>
  </conditionalFormatting>
  <conditionalFormatting sqref="I32:K32">
    <cfRule type="expression" priority="16" dxfId="0">
      <formula>WEEKDAY(I$5,2)&gt;5</formula>
    </cfRule>
  </conditionalFormatting>
  <conditionalFormatting sqref="L32:M32">
    <cfRule type="expression" priority="14" dxfId="0">
      <formula>WEEKDAY(L$5,2)&gt;5</formula>
    </cfRule>
  </conditionalFormatting>
  <conditionalFormatting sqref="P32:R32">
    <cfRule type="expression" priority="12" dxfId="0">
      <formula>WEEKDAY(P$5,2)&gt;5</formula>
    </cfRule>
  </conditionalFormatting>
  <conditionalFormatting sqref="S32:T32">
    <cfRule type="expression" priority="10" dxfId="0">
      <formula>WEEKDAY(S$5,2)&gt;5</formula>
    </cfRule>
  </conditionalFormatting>
  <conditionalFormatting sqref="W32:Y32">
    <cfRule type="expression" priority="8" dxfId="0">
      <formula>WEEKDAY(W$5,2)&gt;5</formula>
    </cfRule>
  </conditionalFormatting>
  <conditionalFormatting sqref="Z32:AA32">
    <cfRule type="expression" priority="6" dxfId="0">
      <formula>WEEKDAY(Z$5,2)&gt;5</formula>
    </cfRule>
  </conditionalFormatting>
  <conditionalFormatting sqref="AD32:AF32">
    <cfRule type="expression" priority="4" dxfId="0">
      <formula>WEEKDAY(AD$5,2)&gt;5</formula>
    </cfRule>
  </conditionalFormatting>
  <conditionalFormatting sqref="AG32:AH32">
    <cfRule type="expression" priority="2" dxfId="0">
      <formula>WEEKDAY(AG$5,2)&gt;5</formula>
    </cfRule>
  </conditionalFormatting>
  <conditionalFormatting sqref="E33:F33">
    <cfRule type="expression" priority="352" dxfId="0">
      <formula>WEEKDAY(E$5,2)&gt;5</formula>
    </cfRule>
  </conditionalFormatting>
  <conditionalFormatting sqref="G33:H33">
    <cfRule type="expression" priority="655" dxfId="0">
      <formula>WEEKDAY(G$5,2)&gt;5</formula>
    </cfRule>
  </conditionalFormatting>
  <conditionalFormatting sqref="I33:K33">
    <cfRule type="expression" priority="15" dxfId="0">
      <formula>WEEKDAY(I$5,2)&gt;5</formula>
    </cfRule>
  </conditionalFormatting>
  <conditionalFormatting sqref="L33:M33">
    <cfRule type="expression" priority="13" dxfId="0">
      <formula>WEEKDAY(L$5,2)&gt;5</formula>
    </cfRule>
  </conditionalFormatting>
  <conditionalFormatting sqref="P33:R33">
    <cfRule type="expression" priority="11" dxfId="0">
      <formula>WEEKDAY(P$5,2)&gt;5</formula>
    </cfRule>
  </conditionalFormatting>
  <conditionalFormatting sqref="S33:T33">
    <cfRule type="expression" priority="9" dxfId="0">
      <formula>WEEKDAY(S$5,2)&gt;5</formula>
    </cfRule>
  </conditionalFormatting>
  <conditionalFormatting sqref="W33:Y33">
    <cfRule type="expression" priority="7" dxfId="0">
      <formula>WEEKDAY(W$5,2)&gt;5</formula>
    </cfRule>
  </conditionalFormatting>
  <conditionalFormatting sqref="Z33:AA33">
    <cfRule type="expression" priority="5" dxfId="0">
      <formula>WEEKDAY(Z$5,2)&gt;5</formula>
    </cfRule>
  </conditionalFormatting>
  <conditionalFormatting sqref="AD33:AF33">
    <cfRule type="expression" priority="3" dxfId="0">
      <formula>WEEKDAY(AD$5,2)&gt;5</formula>
    </cfRule>
  </conditionalFormatting>
  <conditionalFormatting sqref="AG33:AH33">
    <cfRule type="expression" priority="1" dxfId="0">
      <formula>WEEKDAY(AG$5,2)&gt;5</formula>
    </cfRule>
  </conditionalFormatting>
  <conditionalFormatting sqref="D6:D7">
    <cfRule type="expression" priority="1414" dxfId="0">
      <formula>WEEKDAY(D$5,2)&gt;5</formula>
    </cfRule>
  </conditionalFormatting>
  <conditionalFormatting sqref="D28:D29">
    <cfRule type="expression" priority="755" dxfId="0">
      <formula>WEEKDAY(D$5,2)&gt;5</formula>
    </cfRule>
  </conditionalFormatting>
  <conditionalFormatting sqref="I30:I31">
    <cfRule type="expression" priority="240" dxfId="0">
      <formula>WEEKDAY(I$5,2)&gt;5</formula>
    </cfRule>
  </conditionalFormatting>
  <conditionalFormatting sqref="T18:T19">
    <cfRule type="expression" priority="126" dxfId="0">
      <formula>WEEKDAY(T$5,2)&gt;5</formula>
    </cfRule>
  </conditionalFormatting>
  <conditionalFormatting sqref="U26:U27">
    <cfRule type="expression" priority="468" dxfId="0">
      <formula>WEEKDAY(U$5,2)&gt;5</formula>
    </cfRule>
  </conditionalFormatting>
  <conditionalFormatting sqref="V26:V27">
    <cfRule type="expression" priority="246" dxfId="0">
      <formula>WEEKDAY(V$5,2)&gt;5</formula>
    </cfRule>
  </conditionalFormatting>
  <conditionalFormatting sqref="AI6:AI7">
    <cfRule type="expression" priority="508" dxfId="0">
      <formula>WEEKDAY(AI$5,2)&gt;5</formula>
    </cfRule>
  </conditionalFormatting>
  <conditionalFormatting sqref="AI8:AI9">
    <cfRule type="expression" priority="369" dxfId="0">
      <formula>WEEKDAY(AI$5,2)&gt;5</formula>
    </cfRule>
  </conditionalFormatting>
  <conditionalFormatting sqref="AI12:AI13">
    <cfRule type="expression" priority="1028" dxfId="0">
      <formula>WEEKDAY(AI$5,2)&gt;5</formula>
    </cfRule>
  </conditionalFormatting>
  <conditionalFormatting sqref="AI14:AI15">
    <cfRule type="expression" priority="1024" dxfId="0">
      <formula>WEEKDAY(AI$5,2)&gt;5</formula>
    </cfRule>
  </conditionalFormatting>
  <conditionalFormatting sqref="AI16:AI17">
    <cfRule type="expression" priority="489" dxfId="0">
      <formula>WEEKDAY(AI$5,2)&gt;5</formula>
    </cfRule>
  </conditionalFormatting>
  <conditionalFormatting sqref="AI18:AI19">
    <cfRule type="expression" priority="252" dxfId="0">
      <formula>WEEKDAY(AI$5,2)&gt;5</formula>
    </cfRule>
  </conditionalFormatting>
  <conditionalFormatting sqref="AI20:AI21">
    <cfRule type="expression" priority="250" dxfId="0">
      <formula>WEEKDAY(AI$5,2)&gt;5</formula>
    </cfRule>
  </conditionalFormatting>
  <conditionalFormatting sqref="AI22:AI23">
    <cfRule type="expression" priority="472" dxfId="0">
      <formula>WEEKDAY(AI$5,2)&gt;5</formula>
    </cfRule>
  </conditionalFormatting>
  <conditionalFormatting sqref="AI24:AI25">
    <cfRule type="expression" priority="354" dxfId="0">
      <formula>WEEKDAY(AI$5,2)&gt;5</formula>
    </cfRule>
  </conditionalFormatting>
  <conditionalFormatting sqref="AI26:AI27">
    <cfRule type="expression" priority="996" dxfId="0">
      <formula>WEEKDAY(AI$5,2)&gt;5</formula>
    </cfRule>
  </conditionalFormatting>
  <conditionalFormatting sqref="AI28:AI29">
    <cfRule type="expression" priority="241" dxfId="0">
      <formula>WEEKDAY(AI$5,2)&gt;5</formula>
    </cfRule>
  </conditionalFormatting>
  <conditionalFormatting sqref="AI30:AI31">
    <cfRule type="expression" priority="454" dxfId="0">
      <formula>WEEKDAY(AI$5,2)&gt;5</formula>
    </cfRule>
  </conditionalFormatting>
  <conditionalFormatting sqref="AI32:AI33">
    <cfRule type="expression" priority="453" dxfId="0">
      <formula>WEEKDAY(AI$5,2)&gt;5</formula>
    </cfRule>
  </conditionalFormatting>
  <conditionalFormatting sqref="E4:AI5 E35:F35 Q35:U35 X35:AB35 AE35:AI35">
    <cfRule type="expression" priority="4623" dxfId="0">
      <formula>WEEKDAY(E$5,2)&gt;5</formula>
    </cfRule>
  </conditionalFormatting>
  <conditionalFormatting sqref="E6:H10">
    <cfRule type="expression" priority="819" dxfId="0">
      <formula>WEEKDAY(E$5,2)&gt;5</formula>
    </cfRule>
  </conditionalFormatting>
  <conditionalFormatting sqref="N6:O7">
    <cfRule type="expression" priority="514" dxfId="0">
      <formula>WEEKDAY(N$5,2)&gt;5</formula>
    </cfRule>
  </conditionalFormatting>
  <conditionalFormatting sqref="N8:O9">
    <cfRule type="expression" priority="372" dxfId="0">
      <formula>WEEKDAY(N$5,2)&gt;5</formula>
    </cfRule>
  </conditionalFormatting>
  <conditionalFormatting sqref="U8:V9">
    <cfRule type="expression" priority="371" dxfId="0">
      <formula>WEEKDAY(U$5,2)&gt;5</formula>
    </cfRule>
  </conditionalFormatting>
  <conditionalFormatting sqref="AB8:AC9">
    <cfRule type="expression" priority="370" dxfId="0">
      <formula>WEEKDAY(AB$5,2)&gt;5</formula>
    </cfRule>
  </conditionalFormatting>
  <conditionalFormatting sqref="N10:O11">
    <cfRule type="expression" priority="506" dxfId="0">
      <formula>WEEKDAY(N$5,2)&gt;5</formula>
    </cfRule>
  </conditionalFormatting>
  <conditionalFormatting sqref="U10:V11">
    <cfRule type="expression" priority="505" dxfId="0">
      <formula>WEEKDAY(U$5,2)&gt;5</formula>
    </cfRule>
  </conditionalFormatting>
  <conditionalFormatting sqref="AB10:AC11">
    <cfRule type="expression" priority="504" dxfId="0">
      <formula>WEEKDAY(AB$5,2)&gt;5</formula>
    </cfRule>
  </conditionalFormatting>
  <conditionalFormatting sqref="E12:H13">
    <cfRule type="expression" priority="368" dxfId="0">
      <formula>WEEKDAY(E$5,2)&gt;5</formula>
    </cfRule>
  </conditionalFormatting>
  <conditionalFormatting sqref="N12:O13">
    <cfRule type="expression" priority="367" dxfId="0">
      <formula>WEEKDAY(N$5,2)&gt;5</formula>
    </cfRule>
  </conditionalFormatting>
  <conditionalFormatting sqref="U12:V13">
    <cfRule type="expression" priority="366" dxfId="0">
      <formula>WEEKDAY(U$5,2)&gt;5</formula>
    </cfRule>
  </conditionalFormatting>
  <conditionalFormatting sqref="AB12:AC13">
    <cfRule type="expression" priority="365" dxfId="0">
      <formula>WEEKDAY(AB$5,2)&gt;5</formula>
    </cfRule>
  </conditionalFormatting>
  <conditionalFormatting sqref="E14:H15">
    <cfRule type="expression" priority="363" dxfId="0">
      <formula>WEEKDAY(E$5,2)&gt;5</formula>
    </cfRule>
  </conditionalFormatting>
  <conditionalFormatting sqref="N14:O15">
    <cfRule type="expression" priority="362" dxfId="0">
      <formula>WEEKDAY(N$5,2)&gt;5</formula>
    </cfRule>
  </conditionalFormatting>
  <conditionalFormatting sqref="U14:V15">
    <cfRule type="expression" priority="361" dxfId="0">
      <formula>WEEKDAY(U$5,2)&gt;5</formula>
    </cfRule>
  </conditionalFormatting>
  <conditionalFormatting sqref="AB14:AC15">
    <cfRule type="expression" priority="360" dxfId="0">
      <formula>WEEKDAY(AB$5,2)&gt;5</formula>
    </cfRule>
  </conditionalFormatting>
  <conditionalFormatting sqref="N16:O17">
    <cfRule type="expression" priority="492" dxfId="0">
      <formula>WEEKDAY(N$5,2)&gt;5</formula>
    </cfRule>
  </conditionalFormatting>
  <conditionalFormatting sqref="U16:V17">
    <cfRule type="expression" priority="491" dxfId="0">
      <formula>WEEKDAY(U$5,2)&gt;5</formula>
    </cfRule>
  </conditionalFormatting>
  <conditionalFormatting sqref="AB16:AC17">
    <cfRule type="expression" priority="490" dxfId="0">
      <formula>WEEKDAY(AB$5,2)&gt;5</formula>
    </cfRule>
  </conditionalFormatting>
  <conditionalFormatting sqref="E18:I19">
    <cfRule type="expression" priority="488" dxfId="0">
      <formula>WEEKDAY(E$5,2)&gt;5</formula>
    </cfRule>
  </conditionalFormatting>
  <conditionalFormatting sqref="N18:O19">
    <cfRule type="expression" priority="487" dxfId="0">
      <formula>WEEKDAY(N$5,2)&gt;5</formula>
    </cfRule>
  </conditionalFormatting>
  <conditionalFormatting sqref="U18:V19">
    <cfRule type="expression" priority="486" dxfId="0">
      <formula>WEEKDAY(U$5,2)&gt;5</formula>
    </cfRule>
  </conditionalFormatting>
  <conditionalFormatting sqref="AB18:AC19">
    <cfRule type="expression" priority="485" dxfId="0">
      <formula>WEEKDAY(AB$5,2)&gt;5</formula>
    </cfRule>
  </conditionalFormatting>
  <conditionalFormatting sqref="E20:H21">
    <cfRule type="expression" priority="484" dxfId="0">
      <formula>WEEKDAY(E$5,2)&gt;5</formula>
    </cfRule>
  </conditionalFormatting>
  <conditionalFormatting sqref="N20:O21">
    <cfRule type="expression" priority="483" dxfId="0">
      <formula>WEEKDAY(N$5,2)&gt;5</formula>
    </cfRule>
  </conditionalFormatting>
  <conditionalFormatting sqref="U20:V21">
    <cfRule type="expression" priority="482" dxfId="0">
      <formula>WEEKDAY(U$5,2)&gt;5</formula>
    </cfRule>
  </conditionalFormatting>
  <conditionalFormatting sqref="W20:Y21">
    <cfRule type="expression" priority="101" dxfId="0">
      <formula>WEEKDAY(W$5,2)&gt;5</formula>
    </cfRule>
  </conditionalFormatting>
  <conditionalFormatting sqref="AB20:AC21">
    <cfRule type="expression" priority="481" dxfId="0">
      <formula>WEEKDAY(AB$5,2)&gt;5</formula>
    </cfRule>
  </conditionalFormatting>
  <conditionalFormatting sqref="E22:H23">
    <cfRule type="expression" priority="476" dxfId="0">
      <formula>WEEKDAY(E$5,2)&gt;5</formula>
    </cfRule>
  </conditionalFormatting>
  <conditionalFormatting sqref="N22:O23">
    <cfRule type="expression" priority="475" dxfId="0">
      <formula>WEEKDAY(N$5,2)&gt;5</formula>
    </cfRule>
  </conditionalFormatting>
  <conditionalFormatting sqref="U22:V23">
    <cfRule type="expression" priority="249" dxfId="0">
      <formula>WEEKDAY(U$5,2)&gt;5</formula>
    </cfRule>
  </conditionalFormatting>
  <conditionalFormatting sqref="AB22:AC23">
    <cfRule type="expression" priority="473" dxfId="0">
      <formula>WEEKDAY(AB$5,2)&gt;5</formula>
    </cfRule>
  </conditionalFormatting>
  <conditionalFormatting sqref="N24:O25">
    <cfRule type="expression" priority="357" dxfId="0">
      <formula>WEEKDAY(N$5,2)&gt;5</formula>
    </cfRule>
  </conditionalFormatting>
  <conditionalFormatting sqref="U24:V25">
    <cfRule type="expression" priority="356" dxfId="0">
      <formula>WEEKDAY(U$5,2)&gt;5</formula>
    </cfRule>
  </conditionalFormatting>
  <conditionalFormatting sqref="AB24:AC25">
    <cfRule type="expression" priority="355" dxfId="0">
      <formula>WEEKDAY(AB$5,2)&gt;5</formula>
    </cfRule>
  </conditionalFormatting>
  <conditionalFormatting sqref="N26:O27">
    <cfRule type="expression" priority="469" dxfId="0">
      <formula>WEEKDAY(N$5,2)&gt;5</formula>
    </cfRule>
  </conditionalFormatting>
  <conditionalFormatting sqref="AB26:AC27">
    <cfRule type="expression" priority="467" dxfId="0">
      <formula>WEEKDAY(AB$5,2)&gt;5</formula>
    </cfRule>
  </conditionalFormatting>
  <conditionalFormatting sqref="E28:H29">
    <cfRule type="expression" priority="466" dxfId="0">
      <formula>WEEKDAY(E$5,2)&gt;5</formula>
    </cfRule>
  </conditionalFormatting>
  <conditionalFormatting sqref="N28:O29">
    <cfRule type="expression" priority="465" dxfId="0">
      <formula>WEEKDAY(N$5,2)&gt;5</formula>
    </cfRule>
  </conditionalFormatting>
  <conditionalFormatting sqref="U28:V29">
    <cfRule type="expression" priority="464" dxfId="0">
      <formula>WEEKDAY(U$5,2)&gt;5</formula>
    </cfRule>
  </conditionalFormatting>
  <conditionalFormatting sqref="AB28:AC29">
    <cfRule type="expression" priority="462" dxfId="0">
      <formula>WEEKDAY(AB$5,2)&gt;5</formula>
    </cfRule>
  </conditionalFormatting>
  <conditionalFormatting sqref="N30:O31">
    <cfRule type="expression" priority="457" dxfId="0">
      <formula>WEEKDAY(N$5,2)&gt;5</formula>
    </cfRule>
  </conditionalFormatting>
  <conditionalFormatting sqref="U30:V31">
    <cfRule type="expression" priority="456" dxfId="0">
      <formula>WEEKDAY(U$5,2)&gt;5</formula>
    </cfRule>
  </conditionalFormatting>
  <conditionalFormatting sqref="AB30:AC31">
    <cfRule type="expression" priority="455" dxfId="0">
      <formula>WEEKDAY(AB$5,2)&gt;5</formula>
    </cfRule>
  </conditionalFormatting>
  <conditionalFormatting sqref="N32:O33">
    <cfRule type="expression" priority="351" dxfId="0">
      <formula>WEEKDAY(N$5,2)&gt;5</formula>
    </cfRule>
  </conditionalFormatting>
  <conditionalFormatting sqref="U32:V33">
    <cfRule type="expression" priority="350" dxfId="0">
      <formula>WEEKDAY(U$5,2)&gt;5</formula>
    </cfRule>
  </conditionalFormatting>
  <conditionalFormatting sqref="AB32:AC33">
    <cfRule type="expression" priority="349" dxfId="0">
      <formula>WEEKDAY(AB$5,2)&gt;5</formula>
    </cfRule>
  </conditionalFormatting>
  <dataValidations count="3">
    <dataValidation sqref="C6 C8 C10 C12 C14 C16 C18" showDropDown="0" showInputMessage="1" showErrorMessage="1" allowBlank="1"/>
    <dataValidation sqref="D6:AI7 E8:AI33" showDropDown="0" showInputMessage="1" showErrorMessage="1" allowBlank="1" type="list">
      <formula1>$AK$3:$AY$3</formula1>
    </dataValidation>
    <dataValidation sqref="E34:F35 AG34:AI35" showDropDown="0" showInputMessage="1" showErrorMessage="1" allowBlank="1" type="list">
      <formula1>#REF!</formula1>
    </dataValidation>
  </dataValidations>
  <printOptions horizontalCentered="1" verticalCentered="1" gridLines="1"/>
  <pageMargins left="0.07847222222222219" right="0.07847222222222219" top="0.156944444444444" bottom="0.472222222222222" header="0.196527777777778" footer="0.07847222222222219"/>
  <pageSetup orientation="landscape" paperSize="9" scale="90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zoomScale="115" zoomScaleNormal="115" workbookViewId="0">
      <pane ySplit="1" topLeftCell="A2" activePane="bottomLeft" state="frozen"/>
      <selection activeCell="A1" sqref="A1"/>
      <selection pane="bottomLeft" activeCell="C47" sqref="C47"/>
    </sheetView>
  </sheetViews>
  <sheetFormatPr baseColWidth="8" defaultColWidth="9" defaultRowHeight="14" customHeight="1"/>
  <cols>
    <col width="9.77272727272727" customWidth="1" style="2" min="1" max="1"/>
    <col width="11.3363636363636" customWidth="1" style="3" min="2" max="2"/>
    <col width="6.2" customWidth="1" style="4" min="3" max="3"/>
    <col width="6.2" customWidth="1" style="2" min="4" max="4"/>
    <col width="6.2" customWidth="1" style="4" min="5" max="5"/>
    <col width="6.2" customWidth="1" style="2" min="6" max="6"/>
    <col width="8.9" customWidth="1" style="4" min="7" max="7"/>
    <col width="6.2" customWidth="1" style="4" min="8" max="9"/>
    <col width="13.2636363636364" customWidth="1" style="4" min="10" max="10"/>
    <col width="6.2" customWidth="1" style="4" min="11" max="12"/>
    <col width="9" customWidth="1" style="2" min="13" max="16384"/>
  </cols>
  <sheetData>
    <row r="1" ht="76.05" customFormat="1" customHeight="1" s="1">
      <c r="A1" s="5" t="inlineStr">
        <is>
          <t>部门</t>
        </is>
      </c>
      <c r="B1" s="6" t="inlineStr">
        <is>
          <t>姓名</t>
        </is>
      </c>
      <c r="C1" s="5" t="inlineStr">
        <is>
          <t>迟到（次）</t>
        </is>
      </c>
      <c r="D1" s="5" t="inlineStr">
        <is>
          <t>早退（次）</t>
        </is>
      </c>
      <c r="E1" s="5" t="inlineStr">
        <is>
          <t>出差</t>
        </is>
      </c>
      <c r="F1" s="5" t="inlineStr">
        <is>
          <t>旷工</t>
        </is>
      </c>
      <c r="G1" s="5" t="inlineStr">
        <is>
          <t>事假</t>
        </is>
      </c>
      <c r="H1" s="5" t="inlineStr">
        <is>
          <t>病假</t>
        </is>
      </c>
      <c r="I1" s="5" t="inlineStr">
        <is>
          <t>年休假</t>
        </is>
      </c>
      <c r="J1" s="5" t="inlineStr">
        <is>
          <t>其他假（婚、丧、产）</t>
        </is>
      </c>
      <c r="K1" s="5" t="inlineStr">
        <is>
          <t>补休</t>
        </is>
      </c>
      <c r="L1" s="5" t="inlineStr">
        <is>
          <t>未打卡</t>
        </is>
      </c>
    </row>
    <row r="2" s="45">
      <c r="A2" s="7" t="inlineStr">
        <is>
          <t>示例部门</t>
        </is>
      </c>
      <c r="B2" s="11" t="inlineStr">
        <is>
          <t>员工A</t>
        </is>
      </c>
      <c r="C2" s="7" t="n"/>
      <c r="D2" s="7" t="n"/>
      <c r="E2" s="7" t="n"/>
      <c r="F2" s="7" t="n"/>
      <c r="H2" s="7" t="n"/>
      <c r="I2" s="7" t="n"/>
      <c r="J2" s="7" t="n"/>
      <c r="K2" s="7" t="n"/>
      <c r="L2" s="7" t="n"/>
    </row>
    <row r="3" s="45">
      <c r="A3" s="7" t="inlineStr">
        <is>
          <t>示例部门</t>
        </is>
      </c>
      <c r="B3" s="11" t="inlineStr">
        <is>
          <t>员工B</t>
        </is>
      </c>
      <c r="C3" s="7" t="n"/>
      <c r="D3" s="7" t="n"/>
      <c r="E3" s="7" t="n"/>
      <c r="F3" s="7" t="n"/>
      <c r="G3" s="7" t="n"/>
      <c r="H3" s="7" t="n"/>
      <c r="I3" s="7" t="n"/>
      <c r="K3" s="7" t="n"/>
      <c r="L3" s="7" t="n"/>
    </row>
    <row r="4" s="45">
      <c r="A4" s="7" t="inlineStr">
        <is>
          <t>示例部门</t>
        </is>
      </c>
      <c r="B4" s="11" t="inlineStr">
        <is>
          <t>员工C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 s="45">
      <c r="A5" s="7" t="inlineStr">
        <is>
          <t>示例部门</t>
        </is>
      </c>
      <c r="B5" s="11" t="inlineStr">
        <is>
          <t>员工D</t>
        </is>
      </c>
      <c r="C5" s="9" t="n"/>
      <c r="D5" s="10" t="n"/>
      <c r="E5" s="9" t="n"/>
      <c r="F5" s="10" t="n"/>
      <c r="G5" s="9" t="n"/>
      <c r="H5" s="9" t="n"/>
      <c r="I5" s="9" t="n"/>
      <c r="J5" s="9" t="n"/>
      <c r="K5" s="9" t="n"/>
      <c r="L5" s="9" t="n"/>
    </row>
    <row r="6" s="45">
      <c r="A6" s="7" t="inlineStr">
        <is>
          <t>示例部门</t>
        </is>
      </c>
      <c r="B6" s="11" t="inlineStr">
        <is>
          <t>员工E</t>
        </is>
      </c>
      <c r="C6" s="9" t="n"/>
      <c r="D6" s="10" t="n"/>
      <c r="E6" s="9" t="n"/>
      <c r="F6" s="10" t="n"/>
      <c r="G6" s="9" t="n">
        <v>0.5</v>
      </c>
      <c r="H6" s="9" t="n"/>
      <c r="I6" s="9" t="n">
        <v>0.5</v>
      </c>
      <c r="J6" s="9" t="n"/>
      <c r="K6" s="9" t="n">
        <v>0.5</v>
      </c>
      <c r="L6" s="9" t="n"/>
    </row>
    <row r="7" s="45">
      <c r="A7" s="7" t="inlineStr">
        <is>
          <t>示例部门</t>
        </is>
      </c>
      <c r="B7" s="11" t="inlineStr">
        <is>
          <t>员工F</t>
        </is>
      </c>
      <c r="C7" s="9" t="n"/>
      <c r="D7" s="10" t="n"/>
      <c r="E7" s="9" t="n"/>
      <c r="F7" s="10" t="n"/>
      <c r="G7" s="12" t="n"/>
      <c r="H7" s="9" t="n"/>
      <c r="I7" s="9" t="n"/>
      <c r="J7" s="9" t="n"/>
      <c r="K7" s="7" t="n">
        <v>1.5</v>
      </c>
      <c r="L7" s="9" t="n"/>
    </row>
    <row r="8" s="45">
      <c r="A8" s="7" t="inlineStr">
        <is>
          <t>示例部门</t>
        </is>
      </c>
      <c r="B8" s="11" t="inlineStr">
        <is>
          <t>员工G</t>
        </is>
      </c>
      <c r="C8" s="9" t="n"/>
      <c r="D8" s="10" t="n"/>
      <c r="E8" s="9" t="n"/>
      <c r="F8" s="10" t="n"/>
      <c r="G8" s="9" t="n">
        <v>2</v>
      </c>
      <c r="H8" s="9" t="n"/>
      <c r="I8" s="9" t="n">
        <v>1</v>
      </c>
      <c r="K8" s="9" t="n"/>
      <c r="L8" s="9" t="n"/>
    </row>
    <row r="9" s="45">
      <c r="A9" s="7" t="inlineStr">
        <is>
          <t>示例部门</t>
        </is>
      </c>
      <c r="B9" s="11" t="inlineStr">
        <is>
          <t>员工H</t>
        </is>
      </c>
      <c r="C9" s="9" t="n"/>
      <c r="D9" s="10" t="n"/>
      <c r="E9" s="9" t="n"/>
      <c r="F9" s="10" t="n"/>
      <c r="G9" s="9" t="n"/>
      <c r="H9" s="9" t="n"/>
      <c r="I9" s="9" t="n"/>
      <c r="J9" s="9" t="n">
        <v>3</v>
      </c>
      <c r="K9" s="9" t="n"/>
      <c r="L9" s="9" t="n"/>
    </row>
    <row r="10" s="45">
      <c r="A10" s="7" t="inlineStr">
        <is>
          <t>示例部门</t>
        </is>
      </c>
      <c r="B10" s="11" t="inlineStr">
        <is>
          <t>员工I</t>
        </is>
      </c>
      <c r="C10" s="9" t="n"/>
      <c r="D10" s="10" t="n"/>
      <c r="E10" s="9" t="n"/>
      <c r="F10" s="10" t="n"/>
      <c r="G10" s="9" t="n"/>
      <c r="H10" s="9" t="n"/>
      <c r="I10" s="9" t="n"/>
      <c r="J10" s="9" t="n"/>
      <c r="L10" s="9" t="n"/>
    </row>
    <row r="11" s="45">
      <c r="A11" s="7" t="inlineStr">
        <is>
          <t>示例部门</t>
        </is>
      </c>
      <c r="B11" s="11" t="inlineStr">
        <is>
          <t>员工J</t>
        </is>
      </c>
      <c r="C11" s="9" t="n"/>
      <c r="D11" s="10" t="n"/>
      <c r="E11" s="9" t="n"/>
      <c r="F11" s="10" t="n"/>
      <c r="G11" s="9" t="n"/>
      <c r="H11" s="9" t="n"/>
      <c r="I11" s="9" t="n"/>
      <c r="J11" s="9" t="n"/>
      <c r="K11" s="9" t="n"/>
      <c r="L11" s="9" t="n"/>
    </row>
    <row r="12" s="45">
      <c r="A12" s="7" t="inlineStr">
        <is>
          <t>示例部门</t>
        </is>
      </c>
      <c r="B12" s="11" t="inlineStr">
        <is>
          <t>员工K</t>
        </is>
      </c>
      <c r="C12" s="9" t="n"/>
      <c r="D12" s="10" t="n"/>
      <c r="E12" s="9" t="n"/>
      <c r="F12" s="10" t="n"/>
      <c r="G12" s="9" t="n"/>
      <c r="H12" s="9" t="n"/>
      <c r="I12" s="9" t="n">
        <v>1</v>
      </c>
      <c r="J12" s="9" t="n"/>
      <c r="K12" s="9" t="n"/>
      <c r="L12" s="9" t="n"/>
    </row>
    <row r="13" s="45">
      <c r="A13" s="7" t="inlineStr">
        <is>
          <t>示例部门</t>
        </is>
      </c>
      <c r="B13" s="11" t="inlineStr">
        <is>
          <t>员工L</t>
        </is>
      </c>
      <c r="C13" s="9" t="n"/>
      <c r="D13" s="10" t="n"/>
      <c r="E13" s="9" t="n"/>
      <c r="F13" s="10" t="n"/>
      <c r="G13" s="9" t="n"/>
      <c r="H13" s="9" t="n"/>
      <c r="I13" s="9" t="n"/>
      <c r="J13" s="9" t="n"/>
      <c r="K13" s="9" t="n"/>
      <c r="L13" s="9" t="n"/>
    </row>
    <row r="14" s="45">
      <c r="A14" s="7" t="inlineStr">
        <is>
          <t>示例部门</t>
        </is>
      </c>
      <c r="B14" s="11" t="inlineStr">
        <is>
          <t>员工M</t>
        </is>
      </c>
      <c r="C14" s="9" t="n"/>
      <c r="D14" s="10" t="n"/>
      <c r="E14" s="9" t="n"/>
      <c r="F14" s="9" t="n"/>
      <c r="G14" s="9" t="n"/>
      <c r="H14" s="9" t="n"/>
      <c r="I14" s="9" t="n"/>
      <c r="J14" s="9" t="n"/>
      <c r="K14" s="9" t="n">
        <v>1</v>
      </c>
      <c r="L14" s="9" t="n"/>
    </row>
    <row r="15" s="45">
      <c r="A15" s="7" t="inlineStr">
        <is>
          <t>示例部门</t>
        </is>
      </c>
      <c r="B15" s="11" t="inlineStr">
        <is>
          <t>员工N</t>
        </is>
      </c>
      <c r="C15" s="9" t="n"/>
      <c r="D15" s="10" t="n"/>
      <c r="E15" s="9" t="n"/>
      <c r="F15" s="9" t="n"/>
      <c r="G15" s="9" t="n"/>
      <c r="H15" s="9" t="n"/>
      <c r="I15" s="9" t="n"/>
      <c r="J15" s="9" t="n"/>
      <c r="K15" s="9" t="n"/>
      <c r="L15" s="9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陈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2026-03-30T11:30:08Z</dcterms:modified>
  <cp:lastModifiedBy>热血沸腾</cp:lastModifiedBy>
  <cp:lastPrinted>2024-11-18T06:10:00Z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2052-12.1.0.24657</vt:lpwstr>
  </property>
  <property name="ICV" fmtid="{D5CDD505-2E9C-101B-9397-08002B2CF9AE}" pid="3">
    <vt:lpwstr xmlns:vt="http://schemas.openxmlformats.org/officeDocument/2006/docPropsVTypes">4FDB21755AF24A748DA85F0E2B05942E_13</vt:lpwstr>
  </property>
  <property name="CalculationRule" fmtid="{D5CDD505-2E9C-101B-9397-08002B2CF9AE}" pid="4">
    <vt:i4 xmlns:vt="http://schemas.openxmlformats.org/officeDocument/2006/docPropsVTypes">0</vt:i4>
  </property>
</Properties>
</file>